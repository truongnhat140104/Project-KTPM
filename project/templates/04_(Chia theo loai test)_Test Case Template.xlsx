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heckCompatibility="1"/>
  <mc:AlternateContent xmlns:mc="http://schemas.openxmlformats.org/markup-compatibility/2006">
    <mc:Choice Requires="x15">
      <x15ac:absPath xmlns:x15ac="http://schemas.microsoft.com/office/spreadsheetml/2010/11/ac" url="/Users/truongnhat/Desktop/Project-KTPM/project/templates/"/>
    </mc:Choice>
  </mc:AlternateContent>
  <xr:revisionPtr revIDLastSave="0" documentId="13_ncr:9_{F81CA762-1837-4B4D-8CED-83D33BA80C37}" xr6:coauthVersionLast="47" xr6:coauthVersionMax="47" xr10:uidLastSave="{00000000-0000-0000-0000-000000000000}"/>
  <bookViews>
    <workbookView xWindow="-20" yWindow="680" windowWidth="34560" windowHeight="20060" tabRatio="821" activeTab="1" xr2:uid="{54D1C333-A8F3-504F-8D67-28F9DF72E520}"/>
  </bookViews>
  <sheets>
    <sheet name="Cover" sheetId="1" r:id="rId1"/>
    <sheet name="Test case List" sheetId="2" r:id="rId2"/>
    <sheet name="Module1" sheetId="3" r:id="rId3"/>
    <sheet name="TestDataModule1" sheetId="8" r:id="rId4"/>
    <sheet name="Module2" sheetId="9" r:id="rId5"/>
    <sheet name="Module3" sheetId="7" r:id="rId6"/>
    <sheet name="Test Report" sheetId="5" r:id="rId7"/>
  </sheets>
  <definedNames>
    <definedName name="_xlnm._FilterDatabase" localSheetId="2" hidden="1">Module1!$A$8:$H$15</definedName>
    <definedName name="_xlnm._FilterDatabase" localSheetId="4" hidden="1">Module2!$A$8:$H$15</definedName>
    <definedName name="_xlnm._FilterDatabase" localSheetId="5" hidden="1">Module3!$A$8:$H$16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7" l="1"/>
  <c r="E6" i="7" s="1"/>
  <c r="A12" i="7"/>
  <c r="A14" i="7"/>
  <c r="A15" i="7"/>
  <c r="A17" i="7"/>
  <c r="D6" i="9"/>
  <c r="C6" i="9" s="1"/>
  <c r="B6" i="9"/>
  <c r="A6" i="9"/>
  <c r="D3" i="2"/>
  <c r="D6" i="7"/>
  <c r="B6" i="7"/>
  <c r="A6" i="7"/>
  <c r="C6" i="1"/>
  <c r="D4" i="2"/>
  <c r="A6" i="3"/>
  <c r="D11" i="5" s="1"/>
  <c r="B6" i="3"/>
  <c r="E11" i="5" s="1"/>
  <c r="D6" i="3"/>
  <c r="D12" i="5"/>
  <c r="E12" i="5"/>
  <c r="F12" i="5"/>
  <c r="C5" i="5"/>
  <c r="C11" i="5"/>
  <c r="C12" i="5"/>
  <c r="H12" i="5"/>
  <c r="C6" i="7" l="1"/>
  <c r="G12" i="5"/>
  <c r="E14" i="5"/>
  <c r="D14" i="5"/>
  <c r="H11" i="5"/>
  <c r="H14" i="5" s="1"/>
  <c r="G11" i="5"/>
  <c r="G14" i="5" s="1"/>
  <c r="E16" i="5" l="1"/>
  <c r="C6" i="3"/>
  <c r="F11" i="5" s="1"/>
  <c r="F14" i="5" s="1"/>
  <c r="E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A2EFF0CB-5607-B541-A684-9B925F100C1E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<sst xmlns="http://schemas.openxmlformats.org/spreadsheetml/2006/main" count="295" uniqueCount="154">
  <si>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</si>
  <si>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</si>
  <si>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</si>
  <si>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</si>
  <si>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</si>
  <si>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</si>
  <si>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</si>
  <si>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</si>
  <si>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</si>
  <si>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</si>
  <si>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</si>
  <si>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</si>
  <si>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</si>
  <si>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</si>
  <si>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</si>
  <si>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</si>
  <si>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</si>
  <si>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</si>
  <si>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</si>
  <si>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</si>
  <si>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</si>
  <si>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</si>
  <si>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</si>
  <si>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</si>
  <si>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</si>
  <si>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Module1</t>
  </si>
  <si>
    <t>Function B</t>
  </si>
  <si>
    <t>Function C</t>
  </si>
  <si>
    <t>Module2</t>
  </si>
  <si>
    <t>Module Code</t>
  </si>
  <si>
    <t xml:space="preserve">Module1 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</si>
  <si>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</si>
  <si>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</si>
  <si>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</si>
  <si>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</si>
  <si>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</si>
  <si>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</si>
  <si>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</si>
  <si>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</si>
  <si>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</si>
  <si>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</si>
  <si>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</si>
  <si>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</si>
  <si>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</si>
  <si>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Result</t>
  </si>
  <si>
    <t>&lt;Test case 2&gt;</t>
  </si>
  <si>
    <t>&lt;Test case 3&gt;</t>
  </si>
  <si>
    <t>&lt;Test case 4&gt;</t>
  </si>
  <si>
    <t>&lt;Test case 5&gt;</t>
  </si>
  <si>
    <t>&lt;Test case 6&gt;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</si>
  <si>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</si>
  <si>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</si>
  <si>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</si>
  <si>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</si>
  <si>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</si>
  <si>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</si>
  <si>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</si>
  <si>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</si>
  <si>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</si>
  <si>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</si>
  <si>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</si>
  <si>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Test data</t>
    <phoneticPr fontId="0" type="noConversion"/>
  </si>
  <si>
    <t>CusList-001</t>
    <phoneticPr fontId="0" type="noConversion"/>
  </si>
  <si>
    <t>1. Login the system with Manager role.
2. Click [Search] button in the left side of home screen.
3. On [Query] dialog, select [VIP] in [Customer Type] combobox
4. Click  [Search] button</t>
    <phoneticPr fontId="0" type="noConversion"/>
  </si>
  <si>
    <t>TestData01</t>
    <phoneticPr fontId="0" type="noConversion"/>
  </si>
  <si>
    <t>TestData02</t>
    <phoneticPr fontId="0" type="noConversion"/>
  </si>
  <si>
    <t>1. Login the system with Manager role.
2. Click [Search] button in the left side of home screen.
3. On [Query] dialog, select [Member] in [Customer Type] combobox
4. Click  [Search] button</t>
    <phoneticPr fontId="0" type="noConversion"/>
  </si>
  <si>
    <t>Description</t>
    <phoneticPr fontId="0" type="noConversion"/>
  </si>
  <si>
    <t>In database, table 1 [CustomerVIP] have more than 10 records</t>
    <phoneticPr fontId="0" type="noConversion"/>
  </si>
  <si>
    <t>In database, table 2 [CustomerMember] have more than 50 records</t>
    <phoneticPr fontId="0" type="noConversion"/>
  </si>
  <si>
    <t>Query VIP customer list from database (table 1)</t>
    <phoneticPr fontId="0" type="noConversion"/>
  </si>
  <si>
    <t>Query Member customer list from database (table 2)</t>
    <phoneticPr fontId="0" type="noConversion"/>
  </si>
  <si>
    <t>4. List with 10 VIP customers is displayed on [Query] dialog</t>
    <phoneticPr fontId="0" type="noConversion"/>
  </si>
  <si>
    <t>4. List with 50 Members customer is displayed on [Query] dialog</t>
    <phoneticPr fontId="0" type="noConversion"/>
  </si>
  <si>
    <t>Login</t>
  </si>
  <si>
    <t>ShoppingCart</t>
  </si>
  <si>
    <t>Order payment</t>
  </si>
  <si>
    <t>Module3</t>
  </si>
  <si>
    <t>Test data</t>
  </si>
  <si>
    <t>TestData01</t>
  </si>
  <si>
    <t>TestData02</t>
  </si>
  <si>
    <t>TC_LOGIN_01</t>
  </si>
  <si>
    <t>Logout successfully from the system</t>
  </si>
  <si>
    <t>User is logged out and redirected to login page</t>
  </si>
  <si>
    <t>Login with valid customer username and valid password</t>
  </si>
  <si>
    <t>1. Open Login page
2. Enter valid customer username
3. Enter valid password
4. Click Login</t>
  </si>
  <si>
    <t>User logs in successfully and is redirected to customer dashboard</t>
  </si>
  <si>
    <t>TC_LOGIN_02</t>
  </si>
  <si>
    <t>Login with valid admin username and valid password</t>
  </si>
  <si>
    <t>1. Open Login page
2. Enter valid admin username
3. Enter valid password
4. Click Login</t>
  </si>
  <si>
    <t>TC_LOGIN_03</t>
  </si>
  <si>
    <t>Verify system redirects user to correct page after login</t>
  </si>
  <si>
    <t>1. Login with valid credentials</t>
  </si>
  <si>
    <t>User is redirected to correct page based on role</t>
  </si>
  <si>
    <t>TC_LOGIN_04</t>
  </si>
  <si>
    <t>Login with invalid username and invalid password</t>
  </si>
  <si>
    <t>1. Open Login page
2. Enter invalid username
3. Enter invalid password
4. Click Login</t>
  </si>
  <si>
    <t>Login fails and error message is displayed</t>
  </si>
  <si>
    <t>TC_LOGIN_05</t>
  </si>
  <si>
    <t>Verify error message is displayed when login fails</t>
  </si>
  <si>
    <t>1. Login with invalid credentials</t>
  </si>
  <si>
    <t>Appropriate error message is displayed</t>
  </si>
  <si>
    <t>TC_LOGIN_06</t>
  </si>
  <si>
    <t>Login with empty username or password field</t>
  </si>
  <si>
    <t>1. Open Login page
2. Leave username or password empty
3. Click Login</t>
  </si>
  <si>
    <t>Validation message is displayed</t>
  </si>
  <si>
    <t>TC_LOGIN_07</t>
  </si>
  <si>
    <t>Verify password characters are masked during input</t>
  </si>
  <si>
    <t>Password characters are displayed as dots or asterisks</t>
  </si>
  <si>
    <t>TC_LOGIN_08</t>
  </si>
  <si>
    <t>Verify password is not displayed in plain text after typing</t>
  </si>
  <si>
    <t>1. Enter password in password field</t>
  </si>
  <si>
    <t>Password is hidden and not readable</t>
  </si>
  <si>
    <t>TC_LOGOUT_01</t>
  </si>
  <si>
    <t>TC_LOGOUT_02</t>
  </si>
  <si>
    <t>Verify session/token is cleared after logout</t>
  </si>
  <si>
    <t>Session/token is cleared</t>
  </si>
  <si>
    <t>TC_LOGOUT_03</t>
  </si>
  <si>
    <t>Verify user cannot access protected pages after logout</t>
  </si>
  <si>
    <t>User is redirected to login page</t>
  </si>
  <si>
    <t>1. Open Login page
2. Enter valid username password
3. Click Login
4. Click Logout</t>
  </si>
  <si>
    <t>1. Open Login page
2. Enter password -&gt; Click Login</t>
  </si>
  <si>
    <t>TestDataModule1</t>
  </si>
  <si>
    <t>Test Data ID</t>
  </si>
  <si>
    <t>Username</t>
  </si>
  <si>
    <t>Password</t>
  </si>
  <si>
    <t>Role</t>
  </si>
  <si>
    <t>Email</t>
  </si>
  <si>
    <t>Account Status</t>
  </si>
  <si>
    <t>customer01</t>
  </si>
  <si>
    <t>cust@123</t>
  </si>
  <si>
    <t>Customer</t>
  </si>
  <si>
    <t>customer01@mail.com</t>
  </si>
  <si>
    <t>Active</t>
  </si>
  <si>
    <t>admin01</t>
  </si>
  <si>
    <t>admin@123</t>
  </si>
  <si>
    <t>Admin</t>
  </si>
  <si>
    <t>admin01@mail.com</t>
  </si>
  <si>
    <t>customer02</t>
  </si>
  <si>
    <t>customer02@mail.com</t>
  </si>
  <si>
    <t>invalidUser</t>
  </si>
  <si>
    <t>TestData03</t>
  </si>
  <si>
    <t>TestData04</t>
  </si>
  <si>
    <t>TestData05</t>
  </si>
  <si>
    <t>TestData06</t>
  </si>
  <si>
    <t>TestData07</t>
  </si>
  <si>
    <t>TestData08</t>
  </si>
  <si>
    <t>TestData09</t>
  </si>
  <si>
    <t>TestData10</t>
  </si>
  <si>
    <t>TestData11</t>
  </si>
  <si>
    <t>cust@456</t>
  </si>
  <si>
    <t>wrong@123</t>
  </si>
  <si>
    <t>(empty)</t>
  </si>
  <si>
    <t>secret123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</si>
</sst>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90" formatCode="d\-mmm\-yy;@"/>
  </numFmts>
  <fonts count="26">
    <font>
      <sz val="11"/>
      <name val="ＭＳ Ｐゴシック"/>
      <family val="3"/>
      <charset val="128"/>
    </font>
    <font>
      <sz val="10"/>
      <name val="Arial"/>
      <family val="2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3"/>
      <charset val="128"/>
    </font>
    <font>
      <b/>
      <sz val="16"/>
      <name val="Times New Roman"/>
      <family val="1"/>
    </font>
    <font>
      <sz val="16"/>
      <name val="Times New Roman"/>
      <family val="1"/>
    </font>
    <font>
      <sz val="8"/>
      <name val="ＭＳ Ｐゴシック"/>
      <family val="3"/>
      <charset val="128"/>
    </font>
    <font>
      <i/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21" fillId="0" borderId="0"/>
    <xf numFmtId="0" fontId="21" fillId="0" borderId="0"/>
    <xf numFmtId="0" fontId="2" fillId="0" borderId="0"/>
  </cellStyleXfs>
  <cellXfs count="1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indent="1"/>
    </xf>
    <xf numFmtId="0" fontId="8" fillId="0" borderId="0" xfId="0" applyFont="1" applyAlignment="1">
      <alignment horizontal="left" indent="1"/>
    </xf>
    <xf numFmtId="0" fontId="3" fillId="2" borderId="0" xfId="0" applyFont="1" applyFill="1"/>
    <xf numFmtId="0" fontId="7" fillId="2" borderId="2" xfId="0" applyFont="1" applyFill="1" applyBorder="1" applyAlignment="1">
      <alignment horizontal="left"/>
    </xf>
    <xf numFmtId="0" fontId="3" fillId="0" borderId="3" xfId="0" applyFont="1" applyBorder="1" applyAlignment="1"/>
    <xf numFmtId="0" fontId="7" fillId="2" borderId="2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indent="1"/>
    </xf>
    <xf numFmtId="0" fontId="7" fillId="2" borderId="0" xfId="0" applyFont="1" applyFill="1" applyBorder="1"/>
    <xf numFmtId="0" fontId="8" fillId="0" borderId="0" xfId="0" applyFont="1" applyBorder="1" applyAlignment="1">
      <alignment horizontal="left"/>
    </xf>
    <xf numFmtId="0" fontId="3" fillId="0" borderId="0" xfId="0" applyFont="1" applyBorder="1" applyAlignment="1"/>
    <xf numFmtId="0" fontId="7" fillId="2" borderId="0" xfId="0" applyFont="1" applyFill="1" applyBorder="1" applyAlignment="1">
      <alignment horizontal="left" indent="1"/>
    </xf>
    <xf numFmtId="0" fontId="8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/>
    <xf numFmtId="0" fontId="7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90" fontId="9" fillId="3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8" fillId="0" borderId="7" xfId="0" applyFont="1" applyBorder="1" applyAlignment="1">
      <alignment vertical="top" wrapText="1"/>
    </xf>
    <xf numFmtId="49" fontId="3" fillId="0" borderId="8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15" fontId="3" fillId="0" borderId="8" xfId="0" applyNumberFormat="1" applyFont="1" applyBorder="1" applyAlignment="1">
      <alignment vertical="top"/>
    </xf>
    <xf numFmtId="0" fontId="8" fillId="0" borderId="9" xfId="0" applyFont="1" applyBorder="1" applyAlignment="1">
      <alignment vertical="top" wrapText="1"/>
    </xf>
    <xf numFmtId="190" fontId="3" fillId="0" borderId="7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190" fontId="3" fillId="0" borderId="10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1" fontId="3" fillId="2" borderId="0" xfId="0" applyNumberFormat="1" applyFont="1" applyFill="1"/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Protection="1">
      <protection hidden="1"/>
    </xf>
    <xf numFmtId="0" fontId="6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3" fillId="2" borderId="0" xfId="0" applyFont="1" applyFill="1" applyAlignment="1">
      <alignment wrapText="1"/>
    </xf>
    <xf numFmtId="1" fontId="7" fillId="2" borderId="0" xfId="0" applyNumberFormat="1" applyFont="1" applyFill="1" applyBorder="1" applyAlignment="1"/>
    <xf numFmtId="0" fontId="3" fillId="2" borderId="0" xfId="0" applyFont="1" applyFill="1" applyBorder="1" applyAlignment="1"/>
    <xf numFmtId="0" fontId="3" fillId="2" borderId="0" xfId="0" applyFont="1" applyFill="1" applyAlignment="1">
      <alignment vertical="center"/>
    </xf>
    <xf numFmtId="1" fontId="3" fillId="2" borderId="0" xfId="0" applyNumberFormat="1" applyFont="1" applyFill="1" applyAlignment="1" applyProtection="1">
      <alignment vertical="center"/>
      <protection hidden="1"/>
    </xf>
    <xf numFmtId="0" fontId="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/>
    </xf>
    <xf numFmtId="1" fontId="9" fillId="4" borderId="4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horizontal="left" vertical="center"/>
    </xf>
    <xf numFmtId="0" fontId="15" fillId="2" borderId="8" xfId="1" applyNumberFormat="1" applyFont="1" applyFill="1" applyBorder="1" applyAlignment="1" applyProtection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1" fontId="3" fillId="2" borderId="10" xfId="0" applyNumberFormat="1" applyFont="1" applyFill="1" applyBorder="1" applyAlignment="1">
      <alignment vertical="center"/>
    </xf>
    <xf numFmtId="49" fontId="3" fillId="2" borderId="11" xfId="0" applyNumberFormat="1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0" xfId="0" applyFont="1" applyFill="1" applyAlignment="1"/>
    <xf numFmtId="0" fontId="17" fillId="2" borderId="0" xfId="0" applyFont="1" applyFill="1"/>
    <xf numFmtId="0" fontId="18" fillId="2" borderId="14" xfId="0" applyFont="1" applyFill="1" applyBorder="1" applyAlignment="1"/>
    <xf numFmtId="0" fontId="18" fillId="2" borderId="14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14" fillId="2" borderId="0" xfId="0" applyFont="1" applyFill="1" applyAlignment="1" applyProtection="1">
      <alignment wrapText="1"/>
    </xf>
    <xf numFmtId="0" fontId="17" fillId="2" borderId="0" xfId="0" applyFont="1" applyFill="1" applyAlignment="1">
      <alignment wrapText="1"/>
    </xf>
    <xf numFmtId="0" fontId="18" fillId="2" borderId="0" xfId="0" applyFont="1" applyFill="1" applyAlignment="1"/>
    <xf numFmtId="0" fontId="14" fillId="2" borderId="15" xfId="3" applyFont="1" applyFill="1" applyBorder="1" applyAlignment="1">
      <alignment horizontal="left" wrapText="1"/>
    </xf>
    <xf numFmtId="0" fontId="3" fillId="2" borderId="0" xfId="0" applyFont="1" applyFill="1" applyAlignment="1" applyProtection="1">
      <alignment wrapText="1"/>
    </xf>
    <xf numFmtId="0" fontId="14" fillId="2" borderId="16" xfId="3" applyFont="1" applyFill="1" applyBorder="1" applyAlignment="1">
      <alignment horizontal="left" wrapText="1"/>
    </xf>
    <xf numFmtId="0" fontId="12" fillId="2" borderId="0" xfId="0" applyFont="1" applyFill="1" applyAlignment="1"/>
    <xf numFmtId="0" fontId="12" fillId="2" borderId="1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17" fillId="2" borderId="0" xfId="0" applyFont="1" applyFill="1" applyBorder="1" applyAlignment="1">
      <alignment horizontal="center" wrapText="1"/>
    </xf>
    <xf numFmtId="0" fontId="18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wrapText="1"/>
    </xf>
    <xf numFmtId="0" fontId="9" fillId="3" borderId="2" xfId="3" applyFont="1" applyFill="1" applyBorder="1" applyAlignment="1">
      <alignment horizontal="center" vertical="center" wrapText="1"/>
    </xf>
    <xf numFmtId="0" fontId="9" fillId="3" borderId="20" xfId="3" applyFont="1" applyFill="1" applyBorder="1" applyAlignment="1">
      <alignment horizontal="center" vertical="center" wrapText="1"/>
    </xf>
    <xf numFmtId="0" fontId="13" fillId="2" borderId="0" xfId="3" applyFont="1" applyFill="1" applyBorder="1" applyAlignment="1">
      <alignment horizontal="center" vertical="center" wrapText="1"/>
    </xf>
    <xf numFmtId="0" fontId="14" fillId="5" borderId="1" xfId="3" applyFont="1" applyFill="1" applyBorder="1" applyAlignment="1">
      <alignment horizontal="left" vertical="center"/>
    </xf>
    <xf numFmtId="0" fontId="14" fillId="5" borderId="21" xfId="3" applyFont="1" applyFill="1" applyBorder="1" applyAlignment="1">
      <alignment horizontal="left" vertical="center"/>
    </xf>
    <xf numFmtId="0" fontId="14" fillId="5" borderId="3" xfId="3" applyFont="1" applyFill="1" applyBorder="1" applyAlignment="1">
      <alignment horizontal="left" vertical="center"/>
    </xf>
    <xf numFmtId="0" fontId="13" fillId="2" borderId="0" xfId="3" applyFont="1" applyFill="1" applyBorder="1" applyAlignment="1">
      <alignment horizontal="left" vertical="center"/>
    </xf>
    <xf numFmtId="0" fontId="3" fillId="2" borderId="2" xfId="3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7" fillId="2" borderId="0" xfId="0" applyFont="1" applyFill="1" applyBorder="1" applyAlignment="1">
      <alignment vertical="top" wrapText="1"/>
    </xf>
    <xf numFmtId="0" fontId="18" fillId="2" borderId="0" xfId="0" applyFont="1" applyFill="1" applyAlignment="1">
      <alignment vertical="top"/>
    </xf>
    <xf numFmtId="0" fontId="18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/>
    <xf numFmtId="0" fontId="3" fillId="2" borderId="2" xfId="0" applyFont="1" applyFill="1" applyBorder="1"/>
    <xf numFmtId="0" fontId="17" fillId="2" borderId="0" xfId="0" applyFont="1" applyFill="1" applyBorder="1"/>
    <xf numFmtId="0" fontId="14" fillId="2" borderId="0" xfId="2" applyFont="1" applyFill="1" applyBorder="1"/>
    <xf numFmtId="0" fontId="3" fillId="2" borderId="0" xfId="2" applyFont="1" applyFill="1" applyBorder="1"/>
    <xf numFmtId="190" fontId="3" fillId="2" borderId="0" xfId="2" applyNumberFormat="1" applyFont="1" applyFill="1" applyBorder="1"/>
    <xf numFmtId="0" fontId="7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vertical="top"/>
    </xf>
    <xf numFmtId="0" fontId="7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top"/>
    </xf>
    <xf numFmtId="0" fontId="7" fillId="2" borderId="0" xfId="0" applyFont="1" applyFill="1"/>
    <xf numFmtId="0" fontId="8" fillId="2" borderId="0" xfId="2" applyFont="1" applyFill="1" applyBorder="1"/>
    <xf numFmtId="0" fontId="3" fillId="2" borderId="0" xfId="0" applyFont="1" applyFill="1" applyBorder="1"/>
    <xf numFmtId="0" fontId="3" fillId="2" borderId="22" xfId="0" applyFont="1" applyFill="1" applyBorder="1" applyAlignment="1"/>
    <xf numFmtId="0" fontId="9" fillId="3" borderId="23" xfId="0" applyNumberFormat="1" applyFont="1" applyFill="1" applyBorder="1" applyAlignment="1">
      <alignment horizontal="center"/>
    </xf>
    <xf numFmtId="0" fontId="9" fillId="3" borderId="5" xfId="0" applyNumberFormat="1" applyFont="1" applyFill="1" applyBorder="1" applyAlignment="1">
      <alignment horizontal="center"/>
    </xf>
    <xf numFmtId="0" fontId="9" fillId="3" borderId="5" xfId="0" applyNumberFormat="1" applyFont="1" applyFill="1" applyBorder="1" applyAlignment="1">
      <alignment horizontal="center" wrapText="1"/>
    </xf>
    <xf numFmtId="0" fontId="9" fillId="3" borderId="13" xfId="0" applyNumberFormat="1" applyFont="1" applyFill="1" applyBorder="1" applyAlignment="1">
      <alignment horizontal="center"/>
    </xf>
    <xf numFmtId="0" fontId="9" fillId="3" borderId="24" xfId="0" applyNumberFormat="1" applyFont="1" applyFill="1" applyBorder="1" applyAlignment="1">
      <alignment horizontal="center" wrapText="1"/>
    </xf>
    <xf numFmtId="0" fontId="3" fillId="2" borderId="22" xfId="0" applyFont="1" applyFill="1" applyBorder="1"/>
    <xf numFmtId="0" fontId="3" fillId="2" borderId="25" xfId="0" applyNumberFormat="1" applyFont="1" applyFill="1" applyBorder="1" applyAlignment="1">
      <alignment horizontal="center"/>
    </xf>
    <xf numFmtId="0" fontId="3" fillId="2" borderId="8" xfId="0" applyNumberFormat="1" applyFont="1" applyFill="1" applyBorder="1"/>
    <xf numFmtId="0" fontId="3" fillId="2" borderId="8" xfId="0" applyNumberFormat="1" applyFont="1" applyFill="1" applyBorder="1" applyAlignment="1">
      <alignment horizontal="center"/>
    </xf>
    <xf numFmtId="0" fontId="3" fillId="2" borderId="26" xfId="0" applyNumberFormat="1" applyFont="1" applyFill="1" applyBorder="1" applyAlignment="1">
      <alignment horizontal="center"/>
    </xf>
    <xf numFmtId="0" fontId="3" fillId="2" borderId="27" xfId="0" applyNumberFormat="1" applyFont="1" applyFill="1" applyBorder="1" applyAlignment="1">
      <alignment horizontal="center"/>
    </xf>
    <xf numFmtId="0" fontId="19" fillId="3" borderId="28" xfId="0" applyNumberFormat="1" applyFont="1" applyFill="1" applyBorder="1" applyAlignment="1">
      <alignment horizontal="center"/>
    </xf>
    <xf numFmtId="0" fontId="9" fillId="3" borderId="11" xfId="0" applyFont="1" applyFill="1" applyBorder="1"/>
    <xf numFmtId="0" fontId="19" fillId="3" borderId="11" xfId="0" applyFont="1" applyFill="1" applyBorder="1" applyAlignment="1">
      <alignment horizontal="center"/>
    </xf>
    <xf numFmtId="0" fontId="19" fillId="3" borderId="29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0" fontId="3" fillId="2" borderId="0" xfId="0" applyNumberFormat="1" applyFont="1" applyFill="1" applyBorder="1" applyAlignment="1">
      <alignment horizontal="center"/>
    </xf>
    <xf numFmtId="9" fontId="3" fillId="2" borderId="0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left"/>
    </xf>
    <xf numFmtId="2" fontId="20" fillId="2" borderId="0" xfId="0" applyNumberFormat="1" applyFont="1" applyFill="1" applyBorder="1" applyAlignment="1">
      <alignment horizontal="right" wrapText="1"/>
    </xf>
    <xf numFmtId="0" fontId="1" fillId="2" borderId="2" xfId="3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7" fillId="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" fontId="7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top" wrapText="1"/>
    </xf>
    <xf numFmtId="1" fontId="7" fillId="2" borderId="1" xfId="0" applyNumberFormat="1" applyFont="1" applyFill="1" applyBorder="1" applyAlignment="1"/>
    <xf numFmtId="0" fontId="8" fillId="2" borderId="2" xfId="0" applyFont="1" applyFill="1" applyBorder="1" applyAlignment="1">
      <alignment horizontal="left"/>
    </xf>
    <xf numFmtId="0" fontId="18" fillId="2" borderId="30" xfId="0" applyFont="1" applyFill="1" applyBorder="1" applyAlignment="1">
      <alignment horizontal="center" vertical="center" wrapText="1"/>
    </xf>
    <xf numFmtId="0" fontId="8" fillId="2" borderId="31" xfId="3" applyFont="1" applyFill="1" applyBorder="1" applyAlignment="1">
      <alignment horizontal="left" wrapText="1"/>
    </xf>
    <xf numFmtId="0" fontId="8" fillId="2" borderId="32" xfId="3" applyFont="1" applyFill="1" applyBorder="1" applyAlignment="1">
      <alignment horizontal="left" wrapText="1"/>
    </xf>
    <xf numFmtId="0" fontId="12" fillId="2" borderId="3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/>
    </xf>
    <xf numFmtId="0" fontId="8" fillId="2" borderId="2" xfId="2" applyFont="1" applyFill="1" applyBorder="1" applyAlignment="1">
      <alignment vertical="top"/>
    </xf>
    <xf numFmtId="0" fontId="6" fillId="2" borderId="0" xfId="2" applyFont="1" applyFill="1" applyBorder="1" applyAlignment="1">
      <alignment horizontal="center"/>
    </xf>
    <xf numFmtId="0" fontId="16" fillId="2" borderId="8" xfId="1" applyNumberFormat="1" applyFill="1" applyBorder="1" applyAlignment="1" applyProtection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2" borderId="8" xfId="1" applyNumberFormat="1" applyFill="1" applyBorder="1" applyAlignment="1" applyProtection="1">
      <alignment horizontal="left" vertical="center"/>
    </xf>
    <xf numFmtId="0" fontId="0" fillId="0" borderId="33" xfId="0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3" xfId="3" applyFont="1" applyFill="1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0" fillId="0" borderId="33" xfId="0" applyBorder="1" applyAlignment="1">
      <alignment vertical="center" wrapText="1"/>
    </xf>
    <xf numFmtId="0" fontId="18" fillId="2" borderId="33" xfId="0" applyFont="1" applyFill="1" applyBorder="1" applyAlignment="1">
      <alignment horizontal="left" vertical="center" wrapText="1"/>
    </xf>
    <xf numFmtId="0" fontId="13" fillId="0" borderId="0" xfId="3" applyFont="1" applyFill="1" applyBorder="1" applyAlignment="1">
      <alignment horizontal="left" vertical="center"/>
    </xf>
    <xf numFmtId="0" fontId="18" fillId="0" borderId="0" xfId="0" applyFont="1" applyFill="1" applyAlignment="1"/>
    <xf numFmtId="0" fontId="9" fillId="3" borderId="33" xfId="3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vertical="center" wrapText="1"/>
    </xf>
    <xf numFmtId="0" fontId="3" fillId="2" borderId="33" xfId="0" applyFont="1" applyFill="1" applyBorder="1" applyAlignment="1">
      <alignment vertical="top" wrapText="1"/>
    </xf>
    <xf numFmtId="0" fontId="3" fillId="2" borderId="33" xfId="3" applyFont="1" applyFill="1" applyBorder="1" applyAlignment="1">
      <alignment vertical="center" wrapText="1"/>
    </xf>
    <xf numFmtId="0" fontId="3" fillId="2" borderId="33" xfId="0" applyFont="1" applyFill="1" applyBorder="1"/>
    <xf numFmtId="0" fontId="3" fillId="0" borderId="33" xfId="3" applyFont="1" applyFill="1" applyBorder="1" applyAlignment="1">
      <alignment horizontal="left" vertical="center" wrapText="1"/>
    </xf>
    <xf numFmtId="0" fontId="14" fillId="0" borderId="33" xfId="3" applyFont="1" applyFill="1" applyBorder="1" applyAlignment="1">
      <alignment horizontal="left" vertical="center"/>
    </xf>
    <xf numFmtId="0" fontId="3" fillId="0" borderId="33" xfId="3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2" borderId="33" xfId="3" applyFont="1" applyFill="1" applyBorder="1" applyAlignment="1">
      <alignment horizontal="center" vertical="center" wrapText="1"/>
    </xf>
    <xf numFmtId="0" fontId="0" fillId="0" borderId="33" xfId="0" applyFont="1" applyBorder="1" applyAlignment="1">
      <alignment vertical="center" wrapText="1"/>
    </xf>
    <xf numFmtId="0" fontId="0" fillId="0" borderId="33" xfId="0" applyBorder="1" applyAlignment="1">
      <alignment horizontal="left" vertical="center"/>
    </xf>
    <xf numFmtId="0" fontId="3" fillId="2" borderId="33" xfId="3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2" fillId="6" borderId="33" xfId="0" applyFont="1" applyFill="1" applyBorder="1"/>
    <xf numFmtId="0" fontId="16" fillId="2" borderId="33" xfId="1" applyFill="1" applyBorder="1" applyAlignment="1">
      <alignment horizontal="center" vertical="center" wrapText="1"/>
    </xf>
    <xf numFmtId="0" fontId="25" fillId="0" borderId="0" xfId="0" applyFont="1"/>
    <xf numFmtId="0" fontId="23" fillId="0" borderId="0" xfId="0" applyFont="1" applyAlignment="1">
      <alignment horizontal="center"/>
    </xf>
  </cellXfs>
  <cellStyles count="5">
    <cellStyle name="Hyperlink" xfId="1" builtinId="8"/>
    <cellStyle name="Normal" xfId="0" builtinId="0"/>
    <cellStyle name="Normal_Functional Test Case v1.0" xfId="2" xr:uid="{C48BB584-700B-D64B-8404-4676C820111A}"/>
    <cellStyle name="Normal_Sheet1" xfId="3" xr:uid="{A9264020-C429-5142-9C39-B67A411B90CE}"/>
    <cellStyle name="標準_結合試験(AllOvertheWorld)" xfId="4" xr:uid="{68F5B3C1-6BAD-E84F-8A2E-C6AF50D2838D}"/>
  </cellStyles>
  <dxfs count="0"/>
  <tableStyles count="1" defaultTableStyle="TableStyleMedium9" defaultPivotStyle="PivotStyleLight16">
    <tableStyle name="Invisible" pivot="0" table="0" count="0" xr9:uid="{AF480CE7-EB18-DC4D-AB1A-332A241A87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348D-9796-DF47-B02F-62DFD208A110}">
  <dimension ref="A2:G18"/>
  <sheetViews>
    <sheetView workbookViewId="0"/>
  </sheetViews>
  <sheetFormatPr baseColWidth="10" defaultColWidth="9" defaultRowHeight="13"/>
  <cols>
    <col min="1" max="1" width="2.1640625" style="1" customWidth="1"/>
    <col min="2" max="2" width="19.6640625" style="2" customWidth="1"/>
    <col min="3" max="3" width="9.1640625" style="1" customWidth="1"/>
    <col min="4" max="4" width="14.5" style="1" customWidth="1"/>
    <col min="5" max="5" width="8" style="1" customWidth="1"/>
    <col min="6" max="6" width="31.1640625" style="1" customWidth="1"/>
    <col min="7" max="7" width="31" style="1" customWidth="1"/>
    <col min="8" max="16384" width="9" style="1"/>
  </cols>
  <sheetData>
    <row r="2" spans="1:7" s="5" customFormat="1" ht="75.75" customHeight="1">
      <c r="A2" s="3"/>
      <c r="B2" s="4"/>
      <c r="C2" s="133" t="s">
        <v>0</v>
      </c>
      <c r="D2" s="133"/>
      <c r="E2" s="133"/>
      <c r="F2" s="133"/>
      <c r="G2" s="133"/>
    </row>
    <row r="3" spans="1:7">
      <c r="B3" s="6"/>
      <c r="C3" s="7"/>
      <c r="F3" s="8"/>
    </row>
    <row r="4" spans="1:7" ht="14.25" customHeight="1">
      <c r="B4" s="9" t="s">
        <v>1</v>
      </c>
      <c r="C4" s="134" t="s">
        <v>2</v>
      </c>
      <c r="D4" s="134"/>
      <c r="E4" s="134"/>
      <c r="F4" s="9" t="s">
        <v>3</v>
      </c>
      <c r="G4" s="10"/>
    </row>
    <row r="5" spans="1:7" ht="14.25" customHeight="1">
      <c r="B5" s="9" t="s">
        <v>4</v>
      </c>
      <c r="C5" s="134" t="s">
        <v>5</v>
      </c>
      <c r="D5" s="134"/>
      <c r="E5" s="134"/>
      <c r="F5" s="9" t="s">
        <v>6</v>
      </c>
      <c r="G5" s="10"/>
    </row>
    <row r="6" spans="1:7" ht="15.75" customHeight="1">
      <c r="B6" s="135" t="s">
        <v>7</v>
      </c>
      <c r="C6" s="136" t="str">
        <f>C5&amp;"_"&amp;"XXX"&amp;"_"&amp;"vx.x"</f>
        <v>&lt;Project Code&gt;_XXX_vx.x</v>
      </c>
      <c r="D6" s="136"/>
      <c r="E6" s="136"/>
      <c r="F6" s="9" t="s">
        <v>8</v>
      </c>
      <c r="G6" s="12"/>
    </row>
    <row r="7" spans="1:7" ht="13.5" customHeight="1">
      <c r="B7" s="135"/>
      <c r="C7" s="136"/>
      <c r="D7" s="136"/>
      <c r="E7" s="136"/>
      <c r="F7" s="9" t="s">
        <v>9</v>
      </c>
      <c r="G7" s="12"/>
    </row>
    <row r="8" spans="1:7">
      <c r="B8" s="13"/>
      <c r="C8" s="14"/>
      <c r="D8" s="15"/>
      <c r="E8" s="15"/>
      <c r="F8" s="16"/>
      <c r="G8" s="17"/>
    </row>
    <row r="9" spans="1:7">
      <c r="B9" s="18"/>
      <c r="C9" s="19"/>
      <c r="D9" s="19"/>
      <c r="E9" s="19"/>
      <c r="F9" s="19"/>
    </row>
    <row r="10" spans="1:7">
      <c r="B10" s="20" t="s">
        <v>10</v>
      </c>
    </row>
    <row r="11" spans="1:7" s="21" customFormat="1">
      <c r="B11" s="22" t="s">
        <v>11</v>
      </c>
      <c r="C11" s="23" t="s">
        <v>9</v>
      </c>
      <c r="D11" s="23" t="s">
        <v>12</v>
      </c>
      <c r="E11" s="23" t="s">
        <v>13</v>
      </c>
      <c r="F11" s="23" t="s">
        <v>14</v>
      </c>
      <c r="G11" s="24" t="s">
        <v>15</v>
      </c>
    </row>
    <row r="12" spans="1:7" s="25" customFormat="1" ht="28">
      <c r="B12" s="26" t="s">
        <v>16</v>
      </c>
      <c r="C12" s="27"/>
      <c r="D12" s="28"/>
      <c r="E12" s="28"/>
      <c r="F12" s="29"/>
      <c r="G12" s="30" t="s">
        <v>60</v>
      </c>
    </row>
    <row r="13" spans="1:7" s="25" customFormat="1" ht="21.75" customHeight="1">
      <c r="B13" s="31"/>
      <c r="C13" s="27"/>
      <c r="D13" s="28"/>
      <c r="E13" s="28"/>
      <c r="F13" s="28"/>
      <c r="G13" s="32"/>
    </row>
    <row r="14" spans="1:7" s="25" customFormat="1" ht="19.5" customHeight="1">
      <c r="B14" s="31"/>
      <c r="C14" s="27"/>
      <c r="D14" s="28"/>
      <c r="E14" s="28"/>
      <c r="F14" s="28"/>
      <c r="G14" s="32"/>
    </row>
    <row r="15" spans="1:7" s="25" customFormat="1" ht="21.75" customHeight="1">
      <c r="B15" s="31"/>
      <c r="C15" s="27"/>
      <c r="D15" s="28"/>
      <c r="E15" s="28"/>
      <c r="F15" s="28"/>
      <c r="G15" s="32"/>
    </row>
    <row r="16" spans="1:7" s="25" customFormat="1" ht="19.5" customHeight="1">
      <c r="B16" s="31"/>
      <c r="C16" s="27"/>
      <c r="D16" s="28"/>
      <c r="E16" s="28"/>
      <c r="F16" s="28"/>
      <c r="G16" s="32"/>
    </row>
    <row r="17" spans="2:7" s="25" customFormat="1" ht="21.75" customHeight="1">
      <c r="B17" s="31"/>
      <c r="C17" s="27"/>
      <c r="D17" s="28"/>
      <c r="E17" s="28"/>
      <c r="F17" s="28"/>
      <c r="G17" s="32"/>
    </row>
    <row r="18" spans="2:7" s="25" customFormat="1" ht="19.5" customHeight="1">
      <c r="B18" s="33"/>
      <c r="C18" s="34"/>
      <c r="D18" s="35"/>
      <c r="E18" s="35"/>
      <c r="F18" s="35"/>
      <c r="G18" s="36"/>
    </row>
  </sheetData>
  <mergeCells count="5">
    <mergeCell ref="C2:G2"/>
    <mergeCell ref="C4:E4"/>
    <mergeCell ref="C5:E5"/>
    <mergeCell ref="B6:B7"/>
    <mergeCell ref="C6:E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C800-0BA0-DF42-BAF3-9D3D5760E564}">
  <dimension ref="B1:F21"/>
  <sheetViews>
    <sheetView tabSelected="1" zoomScale="178" workbookViewId="0">
      <selection activeCell="H7" sqref="H7"/>
    </sheetView>
  </sheetViews>
  <sheetFormatPr baseColWidth="10" defaultColWidth="9" defaultRowHeight="13"/>
  <cols>
    <col min="1" max="1" width="1.33203125" style="8" customWidth="1"/>
    <col min="2" max="2" width="11.83203125" style="37" customWidth="1"/>
    <col min="3" max="3" width="26.5" style="38" customWidth="1"/>
    <col min="4" max="4" width="17.1640625" style="38" customWidth="1"/>
    <col min="5" max="5" width="28.1640625" style="38" customWidth="1"/>
    <col min="6" max="6" width="30.6640625" style="38" customWidth="1"/>
    <col min="7" max="16384" width="9" style="8"/>
  </cols>
  <sheetData>
    <row r="1" spans="2:6" ht="25">
      <c r="B1" s="39"/>
      <c r="D1" s="40" t="s">
        <v>17</v>
      </c>
      <c r="E1" s="41"/>
    </row>
    <row r="2" spans="2:6" ht="13.5" customHeight="1">
      <c r="B2" s="39"/>
      <c r="D2" s="42"/>
      <c r="E2" s="42"/>
    </row>
    <row r="3" spans="2:6">
      <c r="B3" s="139" t="s">
        <v>1</v>
      </c>
      <c r="C3" s="139"/>
      <c r="D3" s="140" t="str">
        <f>Cover!C4</f>
        <v>&lt;Project Name&gt;</v>
      </c>
      <c r="E3" s="140"/>
      <c r="F3" s="140"/>
    </row>
    <row r="4" spans="2:6">
      <c r="B4" s="139" t="s">
        <v>4</v>
      </c>
      <c r="C4" s="139"/>
      <c r="D4" s="140" t="str">
        <f>Cover!C5</f>
        <v>&lt;Project Code&gt;</v>
      </c>
      <c r="E4" s="140"/>
      <c r="F4" s="140"/>
    </row>
    <row r="5" spans="2:6" s="43" customFormat="1" ht="84.75" customHeight="1">
      <c r="B5" s="137" t="s">
        <v>18</v>
      </c>
      <c r="C5" s="137"/>
      <c r="D5" s="138" t="s">
        <v>19</v>
      </c>
      <c r="E5" s="138"/>
      <c r="F5" s="138"/>
    </row>
    <row r="6" spans="2:6">
      <c r="B6" s="44"/>
      <c r="C6" s="45"/>
      <c r="D6" s="45"/>
      <c r="E6" s="45"/>
      <c r="F6" s="45"/>
    </row>
    <row r="7" spans="2:6" s="46" customFormat="1">
      <c r="B7" s="47"/>
      <c r="C7" s="48"/>
      <c r="D7" s="48"/>
      <c r="E7" s="48"/>
      <c r="F7" s="48"/>
    </row>
    <row r="8" spans="2:6" s="49" customFormat="1" ht="21" customHeight="1">
      <c r="B8" s="50" t="s">
        <v>20</v>
      </c>
      <c r="C8" s="51" t="s">
        <v>21</v>
      </c>
      <c r="D8" s="51" t="s">
        <v>22</v>
      </c>
      <c r="E8" s="52" t="s">
        <v>23</v>
      </c>
      <c r="F8" s="53" t="s">
        <v>24</v>
      </c>
    </row>
    <row r="9" spans="2:6">
      <c r="B9" s="54">
        <v>1</v>
      </c>
      <c r="C9" s="55" t="s">
        <v>74</v>
      </c>
      <c r="D9" s="56" t="s">
        <v>25</v>
      </c>
      <c r="E9" s="56"/>
      <c r="F9" s="57"/>
    </row>
    <row r="10" spans="2:6" ht="14">
      <c r="B10" s="54">
        <v>2</v>
      </c>
      <c r="C10" s="55" t="s">
        <v>75</v>
      </c>
      <c r="D10" s="148" t="s">
        <v>28</v>
      </c>
      <c r="E10" s="56"/>
      <c r="F10" s="57"/>
    </row>
    <row r="11" spans="2:6" ht="14">
      <c r="B11" s="54">
        <v>3</v>
      </c>
      <c r="C11" s="55" t="s">
        <v>76</v>
      </c>
      <c r="D11" s="149" t="s">
        <v>77</v>
      </c>
      <c r="E11" s="56"/>
      <c r="F11" s="57"/>
    </row>
    <row r="12" spans="2:6">
      <c r="B12" s="54"/>
      <c r="C12" s="55"/>
      <c r="D12" s="56"/>
      <c r="E12" s="56"/>
      <c r="F12" s="57"/>
    </row>
    <row r="13" spans="2:6">
      <c r="B13" s="54"/>
      <c r="C13" s="55"/>
      <c r="D13" s="56"/>
      <c r="E13" s="56"/>
      <c r="F13" s="57"/>
    </row>
    <row r="14" spans="2:6">
      <c r="B14" s="54"/>
      <c r="C14" s="55"/>
      <c r="D14" s="58"/>
      <c r="E14" s="58"/>
      <c r="F14" s="57"/>
    </row>
    <row r="15" spans="2:6">
      <c r="B15" s="54"/>
      <c r="C15" s="55"/>
      <c r="D15" s="58"/>
      <c r="E15" s="58"/>
      <c r="F15" s="57"/>
    </row>
    <row r="16" spans="2:6">
      <c r="B16" s="54"/>
      <c r="C16" s="55"/>
      <c r="D16" s="58"/>
      <c r="E16" s="58"/>
      <c r="F16" s="57"/>
    </row>
    <row r="17" spans="2:6">
      <c r="B17" s="54"/>
      <c r="C17" s="55"/>
      <c r="D17" s="58"/>
      <c r="E17" s="58"/>
      <c r="F17" s="57"/>
    </row>
    <row r="18" spans="2:6">
      <c r="B18" s="54"/>
      <c r="C18" s="55"/>
      <c r="D18" s="58"/>
      <c r="E18" s="58"/>
      <c r="F18" s="57"/>
    </row>
    <row r="19" spans="2:6">
      <c r="B19" s="54"/>
      <c r="C19" s="55"/>
      <c r="D19" s="58"/>
      <c r="E19" s="58"/>
      <c r="F19" s="57"/>
    </row>
    <row r="20" spans="2:6">
      <c r="B20" s="54"/>
      <c r="C20" s="55"/>
      <c r="D20" s="58"/>
      <c r="E20" s="58"/>
      <c r="F20" s="57"/>
    </row>
    <row r="21" spans="2:6">
      <c r="B21" s="59"/>
      <c r="C21" s="60"/>
      <c r="D21" s="61"/>
      <c r="E21" s="61"/>
      <c r="F21" s="62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odule1!B10" display="Module1" xr:uid="{FC77F630-5337-2145-ADDB-A7DD980E1A2D}"/>
    <hyperlink ref="D11" location="Module3!B17" display="Module3" xr:uid="{759E4C47-A82E-C148-A178-12FF206E8AD5}"/>
    <hyperlink ref="D10" location="Module2!A1" display="Module2" xr:uid="{EFC3B2F0-9872-0B4D-9F85-37113E4168DE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ABC5-B443-FF41-BA73-04E67E6728A8}">
  <dimension ref="A1:J19"/>
  <sheetViews>
    <sheetView zoomScale="150" workbookViewId="0">
      <pane ySplit="8" topLeftCell="A9" activePane="bottomLeft" state="frozen"/>
      <selection pane="bottomLeft" activeCell="H10" sqref="H10"/>
    </sheetView>
  </sheetViews>
  <sheetFormatPr baseColWidth="10" defaultColWidth="9" defaultRowHeight="13"/>
  <cols>
    <col min="1" max="1" width="14.33203125" style="8" customWidth="1"/>
    <col min="2" max="2" width="19.1640625" style="8" customWidth="1"/>
    <col min="3" max="3" width="32.1640625" style="8" customWidth="1"/>
    <col min="4" max="4" width="28.5" style="8" customWidth="1"/>
    <col min="5" max="5" width="15" style="8" customWidth="1"/>
    <col min="6" max="6" width="7.1640625" style="8" customWidth="1"/>
    <col min="7" max="7" width="14.83203125" style="63" customWidth="1"/>
    <col min="8" max="8" width="31.83203125" style="8" customWidth="1"/>
    <col min="9" max="9" width="8.1640625" style="64" customWidth="1"/>
    <col min="10" max="10" width="0" style="8" hidden="1" customWidth="1"/>
    <col min="11" max="16384" width="9" style="8"/>
  </cols>
  <sheetData>
    <row r="1" spans="1:10" s="70" customFormat="1">
      <c r="A1" s="65"/>
      <c r="B1" s="66"/>
      <c r="C1" s="66"/>
      <c r="D1" s="66"/>
      <c r="E1" s="66"/>
      <c r="F1" s="67"/>
      <c r="G1" s="68"/>
      <c r="H1" s="43"/>
      <c r="I1" s="69"/>
    </row>
    <row r="2" spans="1:10" s="70" customFormat="1" ht="15" customHeight="1">
      <c r="A2" s="71" t="s">
        <v>29</v>
      </c>
      <c r="B2" s="142" t="s">
        <v>30</v>
      </c>
      <c r="C2" s="142"/>
      <c r="D2" s="142"/>
      <c r="E2" s="142"/>
      <c r="F2" s="142"/>
      <c r="G2" s="72"/>
      <c r="H2" s="43"/>
      <c r="I2" s="69"/>
      <c r="J2" s="70" t="s">
        <v>31</v>
      </c>
    </row>
    <row r="3" spans="1:10" s="70" customFormat="1" ht="25.5" customHeight="1">
      <c r="A3" s="73" t="s">
        <v>32</v>
      </c>
      <c r="B3" s="142" t="s">
        <v>33</v>
      </c>
      <c r="C3" s="142"/>
      <c r="D3" s="142"/>
      <c r="E3" s="142"/>
      <c r="F3" s="142"/>
      <c r="G3" s="72"/>
      <c r="H3" s="43"/>
      <c r="I3" s="69"/>
      <c r="J3" s="70" t="s">
        <v>34</v>
      </c>
    </row>
    <row r="4" spans="1:10" s="70" customFormat="1" ht="18" customHeight="1">
      <c r="A4" s="71" t="s">
        <v>35</v>
      </c>
      <c r="B4" s="143"/>
      <c r="C4" s="143"/>
      <c r="D4" s="143"/>
      <c r="E4" s="143"/>
      <c r="F4" s="143"/>
      <c r="G4" s="72"/>
      <c r="H4" s="43"/>
      <c r="I4" s="69"/>
      <c r="J4" s="74"/>
    </row>
    <row r="5" spans="1:10" s="70" customFormat="1" ht="19.5" customHeight="1">
      <c r="A5" s="75" t="s">
        <v>31</v>
      </c>
      <c r="B5" s="76" t="s">
        <v>34</v>
      </c>
      <c r="C5" s="76" t="s">
        <v>36</v>
      </c>
      <c r="D5" s="77" t="s">
        <v>37</v>
      </c>
      <c r="E5" s="144" t="s">
        <v>38</v>
      </c>
      <c r="F5" s="144"/>
      <c r="G5" s="78"/>
      <c r="H5" s="78"/>
      <c r="I5" s="79"/>
      <c r="J5" s="70" t="s">
        <v>39</v>
      </c>
    </row>
    <row r="6" spans="1:10" s="70" customFormat="1" ht="15" customHeight="1">
      <c r="A6" s="80">
        <f>COUNTIF(F9:F997,"Pass")</f>
        <v>10</v>
      </c>
      <c r="B6" s="81">
        <f>COUNTIF(F9:F997,"Fail")</f>
        <v>0</v>
      </c>
      <c r="C6" s="81">
        <f>E6-D6-B6-A6</f>
        <v>0</v>
      </c>
      <c r="D6" s="82">
        <f>COUNTIF(F$9:F$997,"N/A")</f>
        <v>1</v>
      </c>
      <c r="E6" s="141">
        <v>11</v>
      </c>
      <c r="F6" s="141"/>
      <c r="G6" s="78"/>
      <c r="H6" s="78"/>
      <c r="I6" s="79"/>
      <c r="J6" s="70" t="s">
        <v>37</v>
      </c>
    </row>
    <row r="7" spans="1:10" s="70" customFormat="1" ht="15" customHeight="1">
      <c r="D7" s="83"/>
      <c r="E7" s="83"/>
      <c r="F7" s="78"/>
      <c r="G7" s="78"/>
      <c r="H7" s="78"/>
      <c r="I7" s="79"/>
    </row>
    <row r="8" spans="1:10" s="70" customFormat="1" ht="25.5" customHeight="1">
      <c r="A8" s="159" t="s">
        <v>40</v>
      </c>
      <c r="B8" s="159" t="s">
        <v>41</v>
      </c>
      <c r="C8" s="159" t="s">
        <v>42</v>
      </c>
      <c r="D8" s="159" t="s">
        <v>43</v>
      </c>
      <c r="E8" s="159" t="s">
        <v>78</v>
      </c>
      <c r="F8" s="159" t="s">
        <v>44</v>
      </c>
      <c r="G8" s="159" t="s">
        <v>61</v>
      </c>
      <c r="H8" s="159" t="s">
        <v>67</v>
      </c>
      <c r="I8" s="86"/>
    </row>
    <row r="9" spans="1:10" s="94" customFormat="1" ht="85.5" customHeight="1">
      <c r="A9" s="167" t="s">
        <v>81</v>
      </c>
      <c r="B9" s="153" t="s">
        <v>84</v>
      </c>
      <c r="C9" s="153" t="s">
        <v>85</v>
      </c>
      <c r="D9" s="155" t="s">
        <v>86</v>
      </c>
      <c r="E9" s="151" t="s">
        <v>79</v>
      </c>
      <c r="F9" s="152" t="s">
        <v>31</v>
      </c>
      <c r="G9" s="178" t="s">
        <v>122</v>
      </c>
      <c r="H9" s="151"/>
      <c r="I9" s="93"/>
    </row>
    <row r="10" spans="1:10" s="94" customFormat="1" ht="85.5" customHeight="1">
      <c r="A10" s="150" t="s">
        <v>87</v>
      </c>
      <c r="B10" s="153" t="s">
        <v>88</v>
      </c>
      <c r="C10" s="153" t="s">
        <v>89</v>
      </c>
      <c r="D10" s="154" t="s">
        <v>89</v>
      </c>
      <c r="E10" s="151" t="s">
        <v>80</v>
      </c>
      <c r="F10" s="152" t="s">
        <v>37</v>
      </c>
      <c r="G10" s="178" t="s">
        <v>122</v>
      </c>
      <c r="H10" s="160"/>
      <c r="I10" s="93"/>
    </row>
    <row r="11" spans="1:10" ht="60">
      <c r="A11" s="167" t="s">
        <v>90</v>
      </c>
      <c r="B11" s="153" t="s">
        <v>91</v>
      </c>
      <c r="C11" s="170" t="s">
        <v>92</v>
      </c>
      <c r="D11" s="153" t="s">
        <v>93</v>
      </c>
      <c r="E11" s="151" t="s">
        <v>141</v>
      </c>
      <c r="F11" s="168" t="s">
        <v>31</v>
      </c>
      <c r="G11" s="178" t="s">
        <v>122</v>
      </c>
      <c r="H11" s="161"/>
      <c r="I11" s="93"/>
    </row>
    <row r="12" spans="1:10" ht="56">
      <c r="A12" s="167" t="s">
        <v>94</v>
      </c>
      <c r="B12" s="155" t="s">
        <v>95</v>
      </c>
      <c r="C12" s="171" t="s">
        <v>96</v>
      </c>
      <c r="D12" s="156" t="s">
        <v>97</v>
      </c>
      <c r="E12" s="151" t="s">
        <v>142</v>
      </c>
      <c r="F12" s="168" t="s">
        <v>31</v>
      </c>
      <c r="G12" s="178" t="s">
        <v>122</v>
      </c>
      <c r="H12" s="161"/>
      <c r="I12" s="93"/>
    </row>
    <row r="13" spans="1:10" ht="45">
      <c r="A13" s="168" t="s">
        <v>98</v>
      </c>
      <c r="B13" s="155" t="s">
        <v>99</v>
      </c>
      <c r="C13" s="171" t="s">
        <v>100</v>
      </c>
      <c r="D13" s="153" t="s">
        <v>101</v>
      </c>
      <c r="E13" s="151" t="s">
        <v>143</v>
      </c>
      <c r="F13" s="168" t="s">
        <v>31</v>
      </c>
      <c r="G13" s="178" t="s">
        <v>122</v>
      </c>
      <c r="H13" s="161"/>
      <c r="I13" s="93"/>
    </row>
    <row r="14" spans="1:10" ht="42">
      <c r="A14" s="167" t="s">
        <v>102</v>
      </c>
      <c r="B14" s="162" t="s">
        <v>103</v>
      </c>
      <c r="C14" s="171" t="s">
        <v>104</v>
      </c>
      <c r="D14" s="171" t="s">
        <v>105</v>
      </c>
      <c r="E14" s="151" t="s">
        <v>144</v>
      </c>
      <c r="F14" s="168" t="s">
        <v>31</v>
      </c>
      <c r="G14" s="178" t="s">
        <v>122</v>
      </c>
      <c r="H14" s="163"/>
      <c r="I14" s="98"/>
    </row>
    <row r="15" spans="1:10" s="158" customFormat="1" ht="47" customHeight="1">
      <c r="A15" s="166" t="s">
        <v>106</v>
      </c>
      <c r="B15" s="169" t="s">
        <v>107</v>
      </c>
      <c r="C15" s="164" t="s">
        <v>121</v>
      </c>
      <c r="D15" s="153" t="s">
        <v>108</v>
      </c>
      <c r="E15" s="151" t="s">
        <v>145</v>
      </c>
      <c r="F15" s="166" t="s">
        <v>31</v>
      </c>
      <c r="G15" s="178" t="s">
        <v>122</v>
      </c>
      <c r="H15" s="165"/>
      <c r="I15" s="157"/>
    </row>
    <row r="16" spans="1:10" s="158" customFormat="1" ht="47" customHeight="1">
      <c r="A16" s="167" t="s">
        <v>109</v>
      </c>
      <c r="B16" s="155" t="s">
        <v>110</v>
      </c>
      <c r="C16" s="153" t="s">
        <v>111</v>
      </c>
      <c r="D16" s="153" t="s">
        <v>112</v>
      </c>
      <c r="E16" s="151" t="s">
        <v>146</v>
      </c>
      <c r="F16" s="168" t="s">
        <v>31</v>
      </c>
      <c r="G16" s="178" t="s">
        <v>122</v>
      </c>
      <c r="H16" s="161"/>
      <c r="I16" s="157"/>
    </row>
    <row r="17" spans="1:9" ht="56">
      <c r="A17" s="167" t="s">
        <v>113</v>
      </c>
      <c r="B17" s="155" t="s">
        <v>82</v>
      </c>
      <c r="C17" s="172" t="s">
        <v>120</v>
      </c>
      <c r="D17" s="153" t="s">
        <v>83</v>
      </c>
      <c r="E17" s="151" t="s">
        <v>147</v>
      </c>
      <c r="F17" s="168" t="s">
        <v>31</v>
      </c>
      <c r="G17" s="178" t="s">
        <v>122</v>
      </c>
      <c r="H17" s="161"/>
      <c r="I17" s="93"/>
    </row>
    <row r="18" spans="1:9" ht="56">
      <c r="A18" s="167" t="s">
        <v>114</v>
      </c>
      <c r="B18" s="155" t="s">
        <v>115</v>
      </c>
      <c r="C18" s="172" t="s">
        <v>120</v>
      </c>
      <c r="D18" s="170" t="s">
        <v>116</v>
      </c>
      <c r="E18" s="151" t="s">
        <v>148</v>
      </c>
      <c r="F18" s="174" t="s">
        <v>31</v>
      </c>
      <c r="G18" s="178" t="s">
        <v>122</v>
      </c>
      <c r="H18" s="163"/>
    </row>
    <row r="19" spans="1:9" ht="56">
      <c r="A19" s="167" t="s">
        <v>117</v>
      </c>
      <c r="B19" s="155" t="s">
        <v>118</v>
      </c>
      <c r="C19" s="172" t="s">
        <v>120</v>
      </c>
      <c r="D19" s="173" t="s">
        <v>119</v>
      </c>
      <c r="E19" s="151" t="s">
        <v>149</v>
      </c>
      <c r="F19" s="174" t="s">
        <v>31</v>
      </c>
      <c r="G19" s="178" t="s">
        <v>122</v>
      </c>
      <c r="H19" s="163"/>
    </row>
  </sheetData>
  <mergeCells count="5">
    <mergeCell ref="E6:F6"/>
    <mergeCell ref="B2:F2"/>
    <mergeCell ref="B3:F3"/>
    <mergeCell ref="B4:F4"/>
    <mergeCell ref="E5:F5"/>
  </mergeCells>
  <phoneticPr fontId="0" type="noConversion"/>
  <dataValidations count="1">
    <dataValidation type="list" allowBlank="1" showErrorMessage="1" sqref="F1:F3 F7:F144" xr:uid="{0926D9D0-1AE7-204E-AFDC-71D73AD07237}">
      <formula1>$J$2:$J$6</formula1>
      <formula2>0</formula2>
    </dataValidation>
  </dataValidations>
  <hyperlinks>
    <hyperlink ref="G19" location="TestDataModule1!A1" display="TestDataModule1" xr:uid="{2AC885DE-54E9-C043-892C-EA327DCBC729}"/>
    <hyperlink ref="G9:G18" location="TestDataModule1!A1" display="TestDataModule1" xr:uid="{A23F61E0-87BA-1A47-A01E-C205FF37B67A}"/>
  </hyperlink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DE56-4F34-3847-9DE3-3FE1ACFF2F2A}">
  <dimension ref="A1:F12"/>
  <sheetViews>
    <sheetView workbookViewId="0"/>
  </sheetViews>
  <sheetFormatPr baseColWidth="10" defaultRowHeight="14"/>
  <cols>
    <col min="1" max="1" width="22.83203125" customWidth="1"/>
    <col min="2" max="2" width="23.83203125" customWidth="1"/>
    <col min="3" max="3" width="17.6640625" customWidth="1"/>
    <col min="4" max="4" width="15.83203125" customWidth="1"/>
    <col min="5" max="5" width="33.5" customWidth="1"/>
    <col min="6" max="6" width="28.5" customWidth="1"/>
    <col min="7" max="7" width="33.83203125" customWidth="1"/>
  </cols>
  <sheetData>
    <row r="1" spans="1:6" ht="20">
      <c r="A1" s="177" t="s">
        <v>123</v>
      </c>
      <c r="B1" s="177" t="s">
        <v>124</v>
      </c>
      <c r="C1" s="177" t="s">
        <v>125</v>
      </c>
      <c r="D1" s="177" t="s">
        <v>126</v>
      </c>
      <c r="E1" s="177" t="s">
        <v>127</v>
      </c>
      <c r="F1" s="177" t="s">
        <v>128</v>
      </c>
    </row>
    <row r="2" spans="1:6" ht="20">
      <c r="A2" s="175" t="s">
        <v>79</v>
      </c>
      <c r="B2" s="176" t="s">
        <v>129</v>
      </c>
      <c r="C2" s="176" t="s">
        <v>130</v>
      </c>
      <c r="D2" s="176" t="s">
        <v>131</v>
      </c>
      <c r="E2" s="176" t="s">
        <v>132</v>
      </c>
      <c r="F2" s="180" t="s">
        <v>133</v>
      </c>
    </row>
    <row r="3" spans="1:6" ht="20">
      <c r="A3" s="175" t="s">
        <v>80</v>
      </c>
      <c r="B3" s="176" t="s">
        <v>134</v>
      </c>
      <c r="C3" s="176" t="s">
        <v>135</v>
      </c>
      <c r="D3" s="176" t="s">
        <v>136</v>
      </c>
      <c r="E3" s="176" t="s">
        <v>137</v>
      </c>
      <c r="F3" s="180" t="s">
        <v>133</v>
      </c>
    </row>
    <row r="4" spans="1:6" ht="20">
      <c r="A4" s="175" t="s">
        <v>141</v>
      </c>
      <c r="B4" s="176" t="s">
        <v>138</v>
      </c>
      <c r="C4" s="176" t="s">
        <v>150</v>
      </c>
      <c r="D4" s="176" t="s">
        <v>131</v>
      </c>
      <c r="E4" s="176" t="s">
        <v>139</v>
      </c>
      <c r="F4" s="180" t="s">
        <v>133</v>
      </c>
    </row>
    <row r="5" spans="1:6" ht="20">
      <c r="A5" s="175" t="s">
        <v>142</v>
      </c>
      <c r="B5" s="176" t="s">
        <v>140</v>
      </c>
      <c r="C5" s="176" t="s">
        <v>151</v>
      </c>
      <c r="D5" s="176" t="s">
        <v>37</v>
      </c>
      <c r="E5" s="176" t="s">
        <v>37</v>
      </c>
      <c r="F5" s="180" t="s">
        <v>37</v>
      </c>
    </row>
    <row r="6" spans="1:6" ht="20">
      <c r="A6" s="175" t="s">
        <v>143</v>
      </c>
      <c r="B6" s="176" t="s">
        <v>129</v>
      </c>
      <c r="C6" s="176" t="s">
        <v>151</v>
      </c>
      <c r="D6" s="176" t="s">
        <v>131</v>
      </c>
      <c r="E6" s="176" t="s">
        <v>132</v>
      </c>
      <c r="F6" s="180" t="s">
        <v>133</v>
      </c>
    </row>
    <row r="7" spans="1:6" ht="20">
      <c r="A7" s="175" t="s">
        <v>144</v>
      </c>
      <c r="B7" s="176" t="s">
        <v>129</v>
      </c>
      <c r="C7" s="179" t="s">
        <v>152</v>
      </c>
      <c r="D7" s="176" t="s">
        <v>131</v>
      </c>
      <c r="E7" s="176" t="s">
        <v>132</v>
      </c>
      <c r="F7" s="180" t="s">
        <v>133</v>
      </c>
    </row>
    <row r="8" spans="1:6" ht="20">
      <c r="A8" s="175" t="s">
        <v>145</v>
      </c>
      <c r="B8" s="176" t="s">
        <v>129</v>
      </c>
      <c r="C8" s="176" t="s">
        <v>153</v>
      </c>
      <c r="D8" s="176" t="s">
        <v>131</v>
      </c>
      <c r="E8" s="176" t="s">
        <v>132</v>
      </c>
      <c r="F8" s="180" t="s">
        <v>133</v>
      </c>
    </row>
    <row r="9" spans="1:6" ht="20">
      <c r="A9" s="175" t="s">
        <v>146</v>
      </c>
      <c r="B9" s="176" t="s">
        <v>129</v>
      </c>
      <c r="C9" s="176" t="s">
        <v>153</v>
      </c>
      <c r="D9" s="176" t="s">
        <v>131</v>
      </c>
      <c r="E9" s="176" t="s">
        <v>132</v>
      </c>
      <c r="F9" s="180" t="s">
        <v>133</v>
      </c>
    </row>
    <row r="10" spans="1:6" ht="20">
      <c r="A10" s="175" t="s">
        <v>147</v>
      </c>
      <c r="B10" s="176" t="s">
        <v>129</v>
      </c>
      <c r="C10" s="176" t="s">
        <v>130</v>
      </c>
      <c r="D10" s="176" t="s">
        <v>131</v>
      </c>
      <c r="E10" s="176" t="s">
        <v>132</v>
      </c>
      <c r="F10" s="180" t="s">
        <v>133</v>
      </c>
    </row>
    <row r="11" spans="1:6" ht="20">
      <c r="A11" s="175" t="s">
        <v>148</v>
      </c>
      <c r="B11" s="176" t="s">
        <v>129</v>
      </c>
      <c r="C11" s="176" t="s">
        <v>130</v>
      </c>
      <c r="D11" s="176" t="s">
        <v>131</v>
      </c>
      <c r="E11" s="176" t="s">
        <v>132</v>
      </c>
      <c r="F11" s="180" t="s">
        <v>133</v>
      </c>
    </row>
    <row r="12" spans="1:6" ht="20">
      <c r="A12" s="175" t="s">
        <v>149</v>
      </c>
      <c r="B12" s="176" t="s">
        <v>129</v>
      </c>
      <c r="C12" s="176" t="s">
        <v>130</v>
      </c>
      <c r="D12" s="176" t="s">
        <v>131</v>
      </c>
      <c r="E12" s="176" t="s">
        <v>132</v>
      </c>
      <c r="F12" s="180" t="s">
        <v>133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DDDB-B345-3648-87C6-637DF424CD7D}">
  <dimension ref="A1:J19"/>
  <sheetViews>
    <sheetView zoomScale="150" workbookViewId="0">
      <pane ySplit="8" topLeftCell="A9" activePane="bottomLeft" state="frozen"/>
      <selection pane="bottomLeft" activeCell="A9" sqref="A9"/>
    </sheetView>
  </sheetViews>
  <sheetFormatPr baseColWidth="10" defaultColWidth="9" defaultRowHeight="13"/>
  <cols>
    <col min="1" max="1" width="14.33203125" style="8" customWidth="1"/>
    <col min="2" max="2" width="19.1640625" style="8" customWidth="1"/>
    <col min="3" max="3" width="32.1640625" style="8" customWidth="1"/>
    <col min="4" max="4" width="28.5" style="8" customWidth="1"/>
    <col min="5" max="5" width="15" style="8" customWidth="1"/>
    <col min="6" max="6" width="7.1640625" style="8" customWidth="1"/>
    <col min="7" max="7" width="14.83203125" style="63" customWidth="1"/>
    <col min="8" max="8" width="31.83203125" style="8" customWidth="1"/>
    <col min="9" max="9" width="8.1640625" style="64" customWidth="1"/>
    <col min="10" max="10" width="0" style="8" hidden="1" customWidth="1"/>
    <col min="11" max="16384" width="9" style="8"/>
  </cols>
  <sheetData>
    <row r="1" spans="1:10" s="70" customFormat="1" ht="14" thickBot="1">
      <c r="A1" s="65"/>
      <c r="B1" s="66"/>
      <c r="C1" s="66"/>
      <c r="D1" s="66"/>
      <c r="E1" s="66"/>
      <c r="F1" s="67"/>
      <c r="G1" s="68"/>
      <c r="H1" s="43"/>
      <c r="I1" s="69"/>
    </row>
    <row r="2" spans="1:10" s="70" customFormat="1" ht="15" customHeight="1">
      <c r="A2" s="71" t="s">
        <v>29</v>
      </c>
      <c r="B2" s="142" t="s">
        <v>30</v>
      </c>
      <c r="C2" s="142"/>
      <c r="D2" s="142"/>
      <c r="E2" s="142"/>
      <c r="F2" s="142"/>
      <c r="G2" s="72"/>
      <c r="H2" s="43"/>
      <c r="I2" s="69"/>
      <c r="J2" s="70" t="s">
        <v>31</v>
      </c>
    </row>
    <row r="3" spans="1:10" s="70" customFormat="1" ht="25.5" customHeight="1">
      <c r="A3" s="73" t="s">
        <v>32</v>
      </c>
      <c r="B3" s="142" t="s">
        <v>33</v>
      </c>
      <c r="C3" s="142"/>
      <c r="D3" s="142"/>
      <c r="E3" s="142"/>
      <c r="F3" s="142"/>
      <c r="G3" s="72"/>
      <c r="H3" s="43"/>
      <c r="I3" s="69"/>
      <c r="J3" s="70" t="s">
        <v>34</v>
      </c>
    </row>
    <row r="4" spans="1:10" s="70" customFormat="1" ht="18" customHeight="1">
      <c r="A4" s="71" t="s">
        <v>35</v>
      </c>
      <c r="B4" s="143"/>
      <c r="C4" s="143"/>
      <c r="D4" s="143"/>
      <c r="E4" s="143"/>
      <c r="F4" s="143"/>
      <c r="G4" s="72"/>
      <c r="H4" s="43"/>
      <c r="I4" s="69"/>
      <c r="J4" s="74"/>
    </row>
    <row r="5" spans="1:10" s="70" customFormat="1" ht="19.5" customHeight="1">
      <c r="A5" s="75" t="s">
        <v>31</v>
      </c>
      <c r="B5" s="76" t="s">
        <v>34</v>
      </c>
      <c r="C5" s="76" t="s">
        <v>36</v>
      </c>
      <c r="D5" s="77" t="s">
        <v>37</v>
      </c>
      <c r="E5" s="144" t="s">
        <v>38</v>
      </c>
      <c r="F5" s="144"/>
      <c r="G5" s="78"/>
      <c r="H5" s="78"/>
      <c r="I5" s="79"/>
      <c r="J5" s="70" t="s">
        <v>39</v>
      </c>
    </row>
    <row r="6" spans="1:10" s="70" customFormat="1" ht="15" customHeight="1" thickBot="1">
      <c r="A6" s="80">
        <f>COUNTIF(F9:F997,"Pass")</f>
        <v>0</v>
      </c>
      <c r="B6" s="81">
        <f>COUNTIF(F9:F997,"Fail")</f>
        <v>0</v>
      </c>
      <c r="C6" s="81">
        <f>E6-D6-B6-A6</f>
        <v>11</v>
      </c>
      <c r="D6" s="82">
        <f>COUNTIF(F$9:F$997,"N/A")</f>
        <v>0</v>
      </c>
      <c r="E6" s="141">
        <v>11</v>
      </c>
      <c r="F6" s="141"/>
      <c r="G6" s="78"/>
      <c r="H6" s="78"/>
      <c r="I6" s="79"/>
      <c r="J6" s="70" t="s">
        <v>37</v>
      </c>
    </row>
    <row r="7" spans="1:10" s="70" customFormat="1" ht="15" customHeight="1">
      <c r="D7" s="83"/>
      <c r="E7" s="83"/>
      <c r="F7" s="78"/>
      <c r="G7" s="78"/>
      <c r="H7" s="78"/>
      <c r="I7" s="79"/>
    </row>
    <row r="8" spans="1:10" s="70" customFormat="1" ht="25.5" customHeight="1">
      <c r="A8" s="159" t="s">
        <v>40</v>
      </c>
      <c r="B8" s="159" t="s">
        <v>41</v>
      </c>
      <c r="C8" s="159" t="s">
        <v>42</v>
      </c>
      <c r="D8" s="159" t="s">
        <v>43</v>
      </c>
      <c r="E8" s="159" t="s">
        <v>78</v>
      </c>
      <c r="F8" s="159" t="s">
        <v>44</v>
      </c>
      <c r="G8" s="159" t="s">
        <v>61</v>
      </c>
      <c r="H8" s="159" t="s">
        <v>67</v>
      </c>
      <c r="I8" s="86"/>
    </row>
    <row r="9" spans="1:10" s="94" customFormat="1" ht="85.5" customHeight="1">
      <c r="A9" s="167"/>
      <c r="B9" s="153"/>
      <c r="C9" s="153"/>
      <c r="D9" s="155"/>
      <c r="E9" s="151"/>
      <c r="F9" s="152"/>
      <c r="G9" s="178"/>
      <c r="H9" s="151"/>
      <c r="I9" s="93"/>
    </row>
    <row r="10" spans="1:10" s="94" customFormat="1" ht="85.5" customHeight="1">
      <c r="A10" s="150"/>
      <c r="B10" s="153"/>
      <c r="C10" s="153"/>
      <c r="D10" s="154"/>
      <c r="E10" s="151"/>
      <c r="F10" s="152"/>
      <c r="G10" s="178"/>
      <c r="H10" s="160"/>
      <c r="I10" s="93"/>
    </row>
    <row r="11" spans="1:10" ht="14">
      <c r="A11" s="167"/>
      <c r="B11" s="153"/>
      <c r="C11" s="170"/>
      <c r="D11" s="153"/>
      <c r="E11" s="151"/>
      <c r="F11" s="168"/>
      <c r="G11" s="178"/>
      <c r="H11" s="161"/>
      <c r="I11" s="93"/>
    </row>
    <row r="12" spans="1:10" ht="14">
      <c r="A12" s="167"/>
      <c r="B12" s="155"/>
      <c r="C12" s="171"/>
      <c r="D12" s="156"/>
      <c r="E12" s="151"/>
      <c r="F12" s="168"/>
      <c r="G12" s="178"/>
      <c r="H12" s="161"/>
      <c r="I12" s="93"/>
    </row>
    <row r="13" spans="1:10" ht="14">
      <c r="A13" s="168"/>
      <c r="B13" s="155"/>
      <c r="C13" s="171"/>
      <c r="D13" s="153"/>
      <c r="E13" s="151"/>
      <c r="F13" s="168"/>
      <c r="G13" s="178"/>
      <c r="H13" s="161"/>
      <c r="I13" s="93"/>
    </row>
    <row r="14" spans="1:10" ht="14">
      <c r="A14" s="167"/>
      <c r="B14" s="162"/>
      <c r="C14" s="171"/>
      <c r="D14" s="171"/>
      <c r="E14" s="151"/>
      <c r="F14" s="168"/>
      <c r="G14" s="178"/>
      <c r="H14" s="163"/>
      <c r="I14" s="98"/>
    </row>
    <row r="15" spans="1:10" s="158" customFormat="1" ht="47" customHeight="1">
      <c r="A15" s="166"/>
      <c r="B15" s="169"/>
      <c r="C15" s="164"/>
      <c r="D15" s="153"/>
      <c r="E15" s="151"/>
      <c r="F15" s="166"/>
      <c r="G15" s="178"/>
      <c r="H15" s="165"/>
      <c r="I15" s="157"/>
    </row>
    <row r="16" spans="1:10" s="158" customFormat="1" ht="47" customHeight="1">
      <c r="A16" s="167"/>
      <c r="B16" s="155"/>
      <c r="C16" s="153"/>
      <c r="D16" s="153"/>
      <c r="E16" s="151"/>
      <c r="F16" s="168"/>
      <c r="G16" s="178"/>
      <c r="H16" s="161"/>
      <c r="I16" s="157"/>
    </row>
    <row r="17" spans="1:9" ht="14">
      <c r="A17" s="167"/>
      <c r="B17" s="155"/>
      <c r="C17" s="172"/>
      <c r="D17" s="153"/>
      <c r="E17" s="151"/>
      <c r="F17" s="168"/>
      <c r="G17" s="178"/>
      <c r="H17" s="161"/>
      <c r="I17" s="93"/>
    </row>
    <row r="18" spans="1:9" ht="14">
      <c r="A18" s="167"/>
      <c r="B18" s="155"/>
      <c r="C18" s="172"/>
      <c r="D18" s="170"/>
      <c r="E18" s="151"/>
      <c r="F18" s="174"/>
      <c r="G18" s="178"/>
      <c r="H18" s="163"/>
    </row>
    <row r="19" spans="1:9" ht="14">
      <c r="A19" s="167"/>
      <c r="B19" s="155"/>
      <c r="C19" s="172"/>
      <c r="D19" s="173"/>
      <c r="E19" s="151"/>
      <c r="F19" s="174"/>
      <c r="G19" s="178"/>
      <c r="H19" s="163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ErrorMessage="1" sqref="F1:F3 F7:F144" xr:uid="{A6D42111-7503-DB45-A583-71F25BF72696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EDBE-B62B-A64E-ADB6-983CCDC8C430}">
  <dimension ref="A1:J17"/>
  <sheetViews>
    <sheetView workbookViewId="0">
      <pane ySplit="8" topLeftCell="A9" activePane="bottomLeft" state="frozen"/>
      <selection pane="bottomLeft" activeCell="H10" sqref="H10"/>
    </sheetView>
  </sheetViews>
  <sheetFormatPr baseColWidth="10" defaultColWidth="9" defaultRowHeight="13"/>
  <cols>
    <col min="1" max="1" width="11.83203125" style="8" customWidth="1"/>
    <col min="2" max="2" width="19.1640625" style="8" customWidth="1"/>
    <col min="3" max="3" width="32.1640625" style="8" customWidth="1"/>
    <col min="4" max="4" width="28.5" style="8" customWidth="1"/>
    <col min="5" max="5" width="15" style="8" customWidth="1"/>
    <col min="6" max="6" width="7.1640625" style="8" customWidth="1"/>
    <col min="7" max="7" width="11.83203125" style="63" customWidth="1"/>
    <col min="8" max="8" width="31.83203125" style="8" customWidth="1"/>
    <col min="9" max="9" width="8.1640625" style="64" customWidth="1"/>
    <col min="10" max="10" width="0" style="8" hidden="1" customWidth="1"/>
    <col min="11" max="16384" width="9" style="8"/>
  </cols>
  <sheetData>
    <row r="1" spans="1:10" s="70" customFormat="1" ht="14" thickBot="1">
      <c r="A1" s="65"/>
      <c r="B1" s="66"/>
      <c r="C1" s="66"/>
      <c r="D1" s="66"/>
      <c r="E1" s="66"/>
      <c r="F1" s="67"/>
      <c r="G1" s="68"/>
      <c r="H1" s="43"/>
      <c r="I1" s="69"/>
    </row>
    <row r="2" spans="1:10" s="70" customFormat="1" ht="15" customHeight="1">
      <c r="A2" s="71" t="s">
        <v>29</v>
      </c>
      <c r="B2" s="142" t="s">
        <v>30</v>
      </c>
      <c r="C2" s="142"/>
      <c r="D2" s="142"/>
      <c r="E2" s="142"/>
      <c r="F2" s="142"/>
      <c r="G2" s="72"/>
      <c r="H2" s="43"/>
      <c r="I2" s="69"/>
      <c r="J2" s="70" t="s">
        <v>31</v>
      </c>
    </row>
    <row r="3" spans="1:10" s="70" customFormat="1" ht="25.5" customHeight="1">
      <c r="A3" s="73" t="s">
        <v>32</v>
      </c>
      <c r="B3" s="142" t="s">
        <v>33</v>
      </c>
      <c r="C3" s="142"/>
      <c r="D3" s="142"/>
      <c r="E3" s="142"/>
      <c r="F3" s="142"/>
      <c r="G3" s="72"/>
      <c r="H3" s="43"/>
      <c r="I3" s="69"/>
      <c r="J3" s="70" t="s">
        <v>34</v>
      </c>
    </row>
    <row r="4" spans="1:10" s="70" customFormat="1" ht="18" customHeight="1">
      <c r="A4" s="71" t="s">
        <v>35</v>
      </c>
      <c r="B4" s="143"/>
      <c r="C4" s="143"/>
      <c r="D4" s="143"/>
      <c r="E4" s="143"/>
      <c r="F4" s="143"/>
      <c r="G4" s="72"/>
      <c r="H4" s="43"/>
      <c r="I4" s="69"/>
      <c r="J4" s="74"/>
    </row>
    <row r="5" spans="1:10" s="70" customFormat="1" ht="19.5" customHeight="1">
      <c r="A5" s="75" t="s">
        <v>31</v>
      </c>
      <c r="B5" s="76" t="s">
        <v>34</v>
      </c>
      <c r="C5" s="76" t="s">
        <v>36</v>
      </c>
      <c r="D5" s="77" t="s">
        <v>37</v>
      </c>
      <c r="E5" s="144" t="s">
        <v>38</v>
      </c>
      <c r="F5" s="144"/>
      <c r="G5" s="78"/>
      <c r="H5" s="78"/>
      <c r="I5" s="79"/>
      <c r="J5" s="70" t="s">
        <v>39</v>
      </c>
    </row>
    <row r="6" spans="1:10" s="70" customFormat="1" ht="15" customHeight="1" thickBot="1">
      <c r="A6" s="80">
        <f>COUNTIF(F9:F998,"Pass")</f>
        <v>0</v>
      </c>
      <c r="B6" s="81">
        <f>COUNTIF(F9:F998,"Fail")</f>
        <v>0</v>
      </c>
      <c r="C6" s="81">
        <f>E6-D6-B6-A6</f>
        <v>7</v>
      </c>
      <c r="D6" s="82">
        <f>COUNTIF(F$9:F$998,"N/A")</f>
        <v>0</v>
      </c>
      <c r="E6" s="141">
        <f>COUNTA(A9:A998)</f>
        <v>7</v>
      </c>
      <c r="F6" s="141"/>
      <c r="G6" s="78"/>
      <c r="H6" s="78"/>
      <c r="I6" s="79"/>
      <c r="J6" s="70" t="s">
        <v>37</v>
      </c>
    </row>
    <row r="7" spans="1:10" s="70" customFormat="1" ht="15" customHeight="1">
      <c r="D7" s="83"/>
      <c r="E7" s="83"/>
      <c r="F7" s="78"/>
      <c r="G7" s="78"/>
      <c r="H7" s="78"/>
      <c r="I7" s="79"/>
    </row>
    <row r="8" spans="1:10" s="70" customFormat="1" ht="25.5" customHeight="1">
      <c r="A8" s="84" t="s">
        <v>40</v>
      </c>
      <c r="B8" s="84" t="s">
        <v>41</v>
      </c>
      <c r="C8" s="84" t="s">
        <v>42</v>
      </c>
      <c r="D8" s="84" t="s">
        <v>43</v>
      </c>
      <c r="E8" s="85" t="s">
        <v>61</v>
      </c>
      <c r="F8" s="85" t="s">
        <v>44</v>
      </c>
      <c r="G8" s="85" t="s">
        <v>61</v>
      </c>
      <c r="H8" s="84" t="s">
        <v>67</v>
      </c>
      <c r="I8" s="86"/>
    </row>
    <row r="9" spans="1:10" s="94" customFormat="1" ht="85.5" customHeight="1">
      <c r="A9" s="130" t="s">
        <v>62</v>
      </c>
      <c r="B9" s="130" t="s">
        <v>70</v>
      </c>
      <c r="C9" s="130" t="s">
        <v>63</v>
      </c>
      <c r="D9" s="131" t="s">
        <v>72</v>
      </c>
      <c r="E9" s="131" t="s">
        <v>64</v>
      </c>
      <c r="F9" s="130"/>
      <c r="G9" s="131" t="s">
        <v>64</v>
      </c>
      <c r="H9" s="132" t="s">
        <v>68</v>
      </c>
      <c r="I9" s="93"/>
    </row>
    <row r="10" spans="1:10" s="94" customFormat="1" ht="85.5" customHeight="1">
      <c r="A10" s="130" t="s">
        <v>62</v>
      </c>
      <c r="B10" s="130" t="s">
        <v>71</v>
      </c>
      <c r="C10" s="130" t="s">
        <v>66</v>
      </c>
      <c r="D10" s="131" t="s">
        <v>73</v>
      </c>
      <c r="E10" s="131" t="s">
        <v>65</v>
      </c>
      <c r="F10" s="130"/>
      <c r="G10" s="131" t="s">
        <v>65</v>
      </c>
      <c r="H10" s="132" t="s">
        <v>69</v>
      </c>
      <c r="I10" s="93"/>
    </row>
    <row r="11" spans="1:10" ht="14">
      <c r="A11" s="91" t="str">
        <f>IF(OR(B11&lt;&gt;"",D11&lt;&gt;""),"["&amp;TEXT($B$2,"##")&amp;"-"&amp;TEXT(ROW()-10,"##")&amp;"]","")</f>
        <v>[Module1 -1]</v>
      </c>
      <c r="B11" s="91" t="s">
        <v>45</v>
      </c>
      <c r="C11" s="91"/>
      <c r="D11" s="95"/>
      <c r="E11" s="95"/>
      <c r="F11" s="91"/>
      <c r="G11" s="91"/>
      <c r="H11" s="92"/>
      <c r="I11" s="93"/>
    </row>
    <row r="12" spans="1:10" ht="14">
      <c r="A12" s="91" t="str">
        <f>IF(OR(B12&lt;&gt;"",D12&lt;&gt;""),"["&amp;TEXT($B$2,"##")&amp;"-"&amp;TEXT(ROW()-10,"##")&amp;"]","")</f>
        <v>[Module1 -2]</v>
      </c>
      <c r="B12" s="91" t="s">
        <v>46</v>
      </c>
      <c r="C12" s="91"/>
      <c r="D12" s="95"/>
      <c r="E12" s="95"/>
      <c r="F12" s="91"/>
      <c r="G12" s="91"/>
      <c r="H12" s="92"/>
      <c r="I12" s="93"/>
    </row>
    <row r="13" spans="1:10" s="70" customFormat="1" ht="15.75" customHeight="1">
      <c r="A13" s="88"/>
      <c r="B13" s="87" t="s">
        <v>26</v>
      </c>
      <c r="C13" s="88"/>
      <c r="D13" s="88"/>
      <c r="E13" s="88"/>
      <c r="F13" s="88"/>
      <c r="G13" s="88"/>
      <c r="H13" s="89"/>
      <c r="I13" s="90"/>
    </row>
    <row r="14" spans="1:10" ht="14">
      <c r="A14" s="91" t="str">
        <f>IF(OR(B14&lt;&gt;"",D14&lt;&gt;""),"["&amp;TEXT($B$2,"##")&amp;"-"&amp;TEXT(ROW()-11,"##")&amp;"]","")</f>
        <v>[Module1 -3]</v>
      </c>
      <c r="B14" s="91" t="s">
        <v>47</v>
      </c>
      <c r="C14" s="91"/>
      <c r="D14" s="91"/>
      <c r="E14" s="91"/>
      <c r="F14" s="91"/>
      <c r="G14" s="91"/>
      <c r="H14" s="92"/>
      <c r="I14" s="93"/>
    </row>
    <row r="15" spans="1:10" ht="14">
      <c r="A15" s="91" t="str">
        <f>IF(OR(B15&lt;&gt;"",D15&lt;&gt;""),"["&amp;TEXT($B$2,"##")&amp;"-"&amp;TEXT(ROW()-11,"##")&amp;"]","")</f>
        <v>[Module1 -4]</v>
      </c>
      <c r="B15" s="91" t="s">
        <v>48</v>
      </c>
      <c r="C15" s="91"/>
      <c r="D15" s="91"/>
      <c r="E15" s="91"/>
      <c r="F15" s="91"/>
      <c r="G15" s="96"/>
      <c r="H15" s="97"/>
      <c r="I15" s="98"/>
    </row>
    <row r="16" spans="1:10" s="70" customFormat="1" ht="15.75" customHeight="1">
      <c r="A16" s="87"/>
      <c r="B16" s="87" t="s">
        <v>27</v>
      </c>
      <c r="C16" s="88"/>
      <c r="D16" s="88"/>
      <c r="E16" s="88"/>
      <c r="F16" s="88"/>
      <c r="G16" s="88"/>
      <c r="H16" s="89"/>
      <c r="I16" s="90"/>
    </row>
    <row r="17" spans="1:9" ht="14">
      <c r="A17" s="91" t="str">
        <f>IF(OR(B17&lt;&gt;"",D17&lt;&gt;""),"["&amp;TEXT($B$2,"##")&amp;"-"&amp;TEXT(ROW()-12,"##")&amp;"]","")</f>
        <v>[Module1 -5]</v>
      </c>
      <c r="B17" s="91" t="s">
        <v>49</v>
      </c>
      <c r="C17" s="91"/>
      <c r="D17" s="91"/>
      <c r="E17" s="91"/>
      <c r="F17" s="91"/>
      <c r="G17" s="91"/>
      <c r="H17" s="92"/>
      <c r="I17" s="93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ErrorMessage="1" sqref="F1:F3 F7:F145" xr:uid="{FF2EA11B-1EE0-EC40-9391-63EEB3CA1301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6199-8AF6-B940-8B43-002AEC695EDA}">
  <dimension ref="A1:H18"/>
  <sheetViews>
    <sheetView zoomScale="159" workbookViewId="0">
      <selection activeCell="J13" sqref="J13"/>
    </sheetView>
  </sheetViews>
  <sheetFormatPr baseColWidth="10" defaultColWidth="9" defaultRowHeight="13"/>
  <cols>
    <col min="1" max="1" width="9" style="8"/>
    <col min="2" max="2" width="13.5" style="8" customWidth="1"/>
    <col min="3" max="3" width="19.33203125" style="8" customWidth="1"/>
    <col min="4" max="7" width="9" style="8"/>
    <col min="8" max="9" width="33.1640625" style="8" customWidth="1"/>
    <col min="10" max="16384" width="9" style="8"/>
  </cols>
  <sheetData>
    <row r="1" spans="1:8" ht="25.5" customHeight="1">
      <c r="B1" s="147" t="s">
        <v>50</v>
      </c>
      <c r="C1" s="147"/>
      <c r="D1" s="147"/>
      <c r="E1" s="147"/>
      <c r="F1" s="147"/>
      <c r="G1" s="147"/>
      <c r="H1" s="147"/>
    </row>
    <row r="2" spans="1:8" ht="14.25" customHeight="1">
      <c r="A2" s="99"/>
      <c r="B2" s="99"/>
      <c r="C2" s="100"/>
      <c r="D2" s="100"/>
      <c r="E2" s="100"/>
      <c r="F2" s="100"/>
      <c r="G2" s="100"/>
      <c r="H2" s="101"/>
    </row>
    <row r="3" spans="1:8" ht="12" customHeight="1">
      <c r="B3" s="11" t="s">
        <v>1</v>
      </c>
      <c r="C3" s="140" t="s">
        <v>2</v>
      </c>
      <c r="D3" s="140"/>
      <c r="E3" s="145" t="s">
        <v>3</v>
      </c>
      <c r="F3" s="145"/>
      <c r="G3" s="102"/>
      <c r="H3" s="103"/>
    </row>
    <row r="4" spans="1:8" ht="12" customHeight="1">
      <c r="B4" s="11" t="s">
        <v>4</v>
      </c>
      <c r="C4" s="140" t="s">
        <v>5</v>
      </c>
      <c r="D4" s="140"/>
      <c r="E4" s="145" t="s">
        <v>6</v>
      </c>
      <c r="F4" s="145"/>
      <c r="G4" s="102"/>
      <c r="H4" s="103"/>
    </row>
    <row r="5" spans="1:8" ht="12" customHeight="1">
      <c r="B5" s="104" t="s">
        <v>7</v>
      </c>
      <c r="C5" s="140" t="str">
        <f>C4&amp;"_"&amp;"Test Report"&amp;"_"&amp;"vx.x"</f>
        <v>&lt;Project Code&gt;_Test Report_vx.x</v>
      </c>
      <c r="D5" s="140"/>
      <c r="E5" s="145" t="s">
        <v>8</v>
      </c>
      <c r="F5" s="145"/>
      <c r="G5" s="102"/>
      <c r="H5" s="105" t="s">
        <v>51</v>
      </c>
    </row>
    <row r="6" spans="1:8" ht="21.75" customHeight="1">
      <c r="A6" s="99"/>
      <c r="B6" s="104" t="s">
        <v>52</v>
      </c>
      <c r="C6" s="146" t="s">
        <v>53</v>
      </c>
      <c r="D6" s="146"/>
      <c r="E6" s="146"/>
      <c r="F6" s="146"/>
      <c r="G6" s="146"/>
      <c r="H6" s="146"/>
    </row>
    <row r="7" spans="1:8" ht="14.25" customHeight="1">
      <c r="A7" s="99"/>
      <c r="B7" s="106"/>
      <c r="C7" s="107"/>
      <c r="D7" s="100"/>
      <c r="E7" s="100"/>
      <c r="F7" s="100"/>
      <c r="G7" s="100"/>
      <c r="H7" s="101"/>
    </row>
    <row r="8" spans="1:8">
      <c r="B8" s="106"/>
      <c r="C8" s="107"/>
      <c r="D8" s="100"/>
      <c r="E8" s="100"/>
      <c r="F8" s="100"/>
      <c r="G8" s="100"/>
      <c r="H8" s="101"/>
    </row>
    <row r="9" spans="1:8">
      <c r="A9" s="108"/>
      <c r="B9" s="108"/>
      <c r="C9" s="108"/>
      <c r="D9" s="108"/>
      <c r="E9" s="108"/>
      <c r="F9" s="108"/>
      <c r="G9" s="108"/>
      <c r="H9" s="108"/>
    </row>
    <row r="10" spans="1:8" ht="14">
      <c r="A10" s="109"/>
      <c r="B10" s="110" t="s">
        <v>20</v>
      </c>
      <c r="C10" s="111" t="s">
        <v>54</v>
      </c>
      <c r="D10" s="112" t="s">
        <v>31</v>
      </c>
      <c r="E10" s="111" t="s">
        <v>34</v>
      </c>
      <c r="F10" s="111" t="s">
        <v>36</v>
      </c>
      <c r="G10" s="113" t="s">
        <v>37</v>
      </c>
      <c r="H10" s="114" t="s">
        <v>55</v>
      </c>
    </row>
    <row r="11" spans="1:8">
      <c r="A11" s="115"/>
      <c r="B11" s="116">
        <v>1</v>
      </c>
      <c r="C11" s="117" t="str">
        <f>Module1!B2</f>
        <v xml:space="preserve">Module1 </v>
      </c>
      <c r="D11" s="118">
        <f>Module1!A6</f>
        <v>10</v>
      </c>
      <c r="E11" s="118">
        <f>Module1!B6</f>
        <v>0</v>
      </c>
      <c r="F11" s="118">
        <f>Module1!C6</f>
        <v>0</v>
      </c>
      <c r="G11" s="119">
        <f>Module1!D6</f>
        <v>1</v>
      </c>
      <c r="H11" s="120">
        <f>Module1!E6</f>
        <v>11</v>
      </c>
    </row>
    <row r="12" spans="1:8">
      <c r="A12" s="115"/>
      <c r="B12" s="116">
        <v>2</v>
      </c>
      <c r="C12" s="117" t="e">
        <f>#REF!</f>
        <v>#REF!</v>
      </c>
      <c r="D12" s="118" t="e">
        <f>#REF!</f>
        <v>#REF!</v>
      </c>
      <c r="E12" s="118" t="e">
        <f>#REF!</f>
        <v>#REF!</v>
      </c>
      <c r="F12" s="118" t="e">
        <f>#REF!</f>
        <v>#REF!</v>
      </c>
      <c r="G12" s="119" t="e">
        <f>#REF!</f>
        <v>#REF!</v>
      </c>
      <c r="H12" s="120" t="e">
        <f>#REF!</f>
        <v>#REF!</v>
      </c>
    </row>
    <row r="13" spans="1:8">
      <c r="A13" s="115"/>
      <c r="B13" s="116"/>
      <c r="C13" s="117"/>
      <c r="D13" s="118"/>
      <c r="E13" s="118"/>
      <c r="F13" s="118"/>
      <c r="G13" s="119"/>
      <c r="H13" s="120"/>
    </row>
    <row r="14" spans="1:8">
      <c r="A14" s="115"/>
      <c r="B14" s="121"/>
      <c r="C14" s="122" t="s">
        <v>56</v>
      </c>
      <c r="D14" s="123" t="e">
        <f>SUM(D9:D13)</f>
        <v>#REF!</v>
      </c>
      <c r="E14" s="123" t="e">
        <f>SUM(E9:E13)</f>
        <v>#REF!</v>
      </c>
      <c r="F14" s="123" t="e">
        <f>SUM(F9:F13)</f>
        <v>#REF!</v>
      </c>
      <c r="G14" s="123" t="e">
        <f>SUM(G9:G13)</f>
        <v>#REF!</v>
      </c>
      <c r="H14" s="124" t="e">
        <f>SUM(H9:H13)</f>
        <v>#REF!</v>
      </c>
    </row>
    <row r="15" spans="1:8">
      <c r="A15" s="108"/>
      <c r="B15" s="125"/>
      <c r="C15" s="108"/>
      <c r="D15" s="126"/>
      <c r="E15" s="127"/>
      <c r="F15" s="127"/>
      <c r="G15" s="127"/>
      <c r="H15" s="127"/>
    </row>
    <row r="16" spans="1:8">
      <c r="A16" s="108"/>
      <c r="B16" s="108"/>
      <c r="C16" s="128" t="s">
        <v>57</v>
      </c>
      <c r="D16" s="108"/>
      <c r="E16" s="129" t="e">
        <f>(D14+E14)*100/(H14-G14)</f>
        <v>#REF!</v>
      </c>
      <c r="F16" s="108" t="s">
        <v>58</v>
      </c>
      <c r="G16" s="108"/>
      <c r="H16" s="83"/>
    </row>
    <row r="17" spans="1:8">
      <c r="A17" s="108"/>
      <c r="B17" s="108"/>
      <c r="C17" s="128" t="s">
        <v>59</v>
      </c>
      <c r="D17" s="108"/>
      <c r="E17" s="129" t="e">
        <f>D14*100/(H14-G14)</f>
        <v>#REF!</v>
      </c>
      <c r="F17" s="108" t="s">
        <v>58</v>
      </c>
      <c r="G17" s="108"/>
      <c r="H17" s="83"/>
    </row>
    <row r="18" spans="1:8">
      <c r="C18" s="108"/>
      <c r="D18" s="10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b08c537a49adf1f0264621696145d4e8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79edc66073723f43766a972d30b274e4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5ED280E-F51D-42B1-B363-4EC477D08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CAE63D-5380-40ED-A43E-1567E1C203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case List</vt:lpstr>
      <vt:lpstr>Module1</vt:lpstr>
      <vt:lpstr>TestDataModule1</vt:lpstr>
      <vt:lpstr>Module2</vt:lpstr>
      <vt:lpstr>Module3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pc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Đỗ Nguyễn Nhật Trường</cp:lastModifiedBy>
  <cp:lastPrinted>2010-11-12T10:33:20Z</cp:lastPrinted>
  <dcterms:created xsi:type="dcterms:W3CDTF">2011-06-02T09:10:50Z</dcterms:created>
  <dcterms:modified xsi:type="dcterms:W3CDTF">2025-12-14T09:23:30Z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</Properties>
</file>