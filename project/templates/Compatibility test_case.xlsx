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checkCompatibility="1"/>
  <mc:AlternateContent xmlns:mc="http://schemas.openxmlformats.org/markup-compatibility/2006">
    <mc:Choice Requires="x15">
      <x15ac:absPath xmlns:x15ac="http://schemas.microsoft.com/office/spreadsheetml/2010/11/ac" url="/Users/truongnhat/Desktop/Project-KTPM/project/templates/"/>
    </mc:Choice>
  </mc:AlternateContent>
  <xr:revisionPtr revIDLastSave="0" documentId="13_ncr:1_{6DE3B4C0-AC7D-4243-A283-CF8AFB9ED549}" xr6:coauthVersionLast="47" xr6:coauthVersionMax="47" xr10:uidLastSave="{00000000-0000-0000-0000-000000000000}"/>
  <bookViews>
    <workbookView xWindow="0" yWindow="680" windowWidth="34560" windowHeight="20060" tabRatio="821" activeTab="5" xr2:uid="{54D1C333-A8F3-504F-8D67-28F9DF72E520}"/>
  </bookViews>
  <sheets>
    <sheet name="Cover" sheetId="1" r:id="rId1"/>
    <sheet name="Test case List" sheetId="2" r:id="rId2"/>
    <sheet name="Module1" sheetId="3" r:id="rId3"/>
    <sheet name="Module2" sheetId="9" r:id="rId4"/>
    <sheet name="testdata" sheetId="8" r:id="rId5"/>
    <sheet name="Test Report" sheetId="5" r:id="rId6"/>
  </sheets>
  <definedNames>
    <definedName name="_xlnm._FilterDatabase" localSheetId="2" hidden="1">Module1!$A$8:$I$14</definedName>
    <definedName name="_xlnm._FilterDatabase" localSheetId="3" hidden="1">Module2!$A$8:$H$14</definedName>
    <definedName name="ACT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5" l="1"/>
  <c r="E12" i="5"/>
  <c r="F12" i="5"/>
  <c r="G12" i="5"/>
  <c r="D12" i="5"/>
  <c r="D6" i="3"/>
  <c r="B6" i="3"/>
  <c r="E11" i="5" s="1"/>
  <c r="A6" i="3"/>
  <c r="D11" i="5" s="1"/>
  <c r="E6" i="9"/>
  <c r="D6" i="9"/>
  <c r="B6" i="9"/>
  <c r="A6" i="9"/>
  <c r="C6" i="1"/>
  <c r="D3" i="2"/>
  <c r="D4" i="2"/>
  <c r="C5" i="5"/>
  <c r="C11" i="5"/>
  <c r="C6" i="9" l="1"/>
  <c r="E14" i="5"/>
  <c r="D14" i="5"/>
  <c r="H11" i="5"/>
  <c r="H14" i="5" s="1"/>
  <c r="G11" i="5"/>
  <c r="G14" i="5" l="1"/>
  <c r="E16" i="5" s="1"/>
  <c r="C6" i="3"/>
  <c r="F11" i="5" s="1"/>
  <c r="F14" i="5" s="1"/>
  <c r="E17"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A2EFF0CB-5607-B541-A684-9B925F100C1E}">
      <text>
        <r>
          <rPr>
            <b/>
            <sz val="10"/>
            <color indexed="8"/>
            <rFont val="Times New Roman"/>
            <family val="1"/>
          </rPr>
          <t>*A</t>
        </r>
        <r>
          <rPr>
            <sz val="10"/>
            <color indexed="8"/>
            <rFont val="Times New Roman"/>
            <family val="1"/>
          </rPr>
          <t xml:space="preserve">: Add
  </t>
        </r>
        <r>
          <rPr>
            <b/>
            <sz val="10"/>
            <color indexed="8"/>
            <rFont val="Times New Roman"/>
            <family val="1"/>
          </rPr>
          <t>M</t>
        </r>
        <r>
          <rPr>
            <sz val="10"/>
            <color indexed="8"/>
            <rFont val="Times New Roman"/>
            <family val="1"/>
          </rPr>
          <t xml:space="preserve">: Modify
  </t>
        </r>
        <r>
          <rPr>
            <b/>
            <sz val="10"/>
            <color indexed="8"/>
            <rFont val="Times New Roman"/>
            <family val="1"/>
          </rPr>
          <t>D</t>
        </r>
        <r>
          <rPr>
            <sz val="10"/>
            <color indexed="8"/>
            <rFont val="Times New Roman"/>
            <family val="1"/>
          </rPr>
          <t xml:space="preserve">: Delete
</t>
        </r>
      </text>
    </comment>
  </commentList>
</comments>
</file>

<file path=xl/sharedStrings.xml><?xml version="1.0" encoding="utf-8"?>
<sst xmlns="http://schemas.openxmlformats.org/spreadsheetml/2006/main" count="292" uniqueCount="175">
  <si>
    <t>TEST CASE</t>
  </si>
  <si>
    <t>Project Name</t>
  </si>
  <si>
    <t>&lt;Project Name&gt;</t>
  </si>
  <si>
    <t>Creator</t>
  </si>
  <si>
    <t>Project Code</t>
  </si>
  <si>
    <t>&lt;Project Code&gt;</t>
  </si>
  <si>
    <t>Reviewer/Approver</t>
  </si>
  <si>
    <t>Document Code</t>
  </si>
  <si>
    <t>Issue Date</t>
  </si>
  <si>
    <t>Version</t>
  </si>
  <si>
    <t>Record of change</t>
  </si>
  <si>
    <t>Effective Date</t>
  </si>
  <si>
    <t>Change Item</t>
  </si>
  <si>
    <t>*A,D,M</t>
  </si>
  <si>
    <t>Change description</t>
  </si>
  <si>
    <t>Reference</t>
  </si>
  <si>
    <t>&lt;Date when these changes are effective&gt;</t>
  </si>
  <si>
    <t>TEST CASE LIST</t>
  </si>
  <si>
    <t>Test Environment Setup Description</t>
  </si>
  <si>
    <t>&lt;List enviroment requires in this system
1. Server
2. Database
3. Web Browser
...
&gt;</t>
  </si>
  <si>
    <t>No</t>
  </si>
  <si>
    <t>Function Name</t>
  </si>
  <si>
    <t>Sheet Name</t>
  </si>
  <si>
    <t>Description</t>
  </si>
  <si>
    <t>Pre-Condition</t>
  </si>
  <si>
    <t>Module1</t>
  </si>
  <si>
    <t>Module2</t>
  </si>
  <si>
    <t>Module Code</t>
  </si>
  <si>
    <t xml:space="preserve">Module1 </t>
  </si>
  <si>
    <t>Pass</t>
  </si>
  <si>
    <t>Test requirement</t>
  </si>
  <si>
    <t>&lt;Brief description about requirements which are tested in this sheet&gt;</t>
  </si>
  <si>
    <t>Fail</t>
  </si>
  <si>
    <t>Tester</t>
  </si>
  <si>
    <t>Untested</t>
  </si>
  <si>
    <t>N/A</t>
  </si>
  <si>
    <t>Number of Test cases</t>
  </si>
  <si>
    <t>Untesed</t>
  </si>
  <si>
    <t>ID</t>
  </si>
  <si>
    <t>Test Case Description</t>
  </si>
  <si>
    <t>Test Case Procedure</t>
  </si>
  <si>
    <t>Expected Output</t>
  </si>
  <si>
    <t>Result</t>
  </si>
  <si>
    <t>TEST REPORT</t>
  </si>
  <si>
    <t>&lt;Date when this test report is created&gt;</t>
  </si>
  <si>
    <t>Notes</t>
  </si>
  <si>
    <t>&lt;List modules included in this release&gt; ex: Release 1 includes 2 modules: Module1 and Module2</t>
  </si>
  <si>
    <t>Module code</t>
  </si>
  <si>
    <t>Number of  test cases</t>
  </si>
  <si>
    <t>Sub total</t>
  </si>
  <si>
    <t>Test coverage</t>
  </si>
  <si>
    <t>%</t>
  </si>
  <si>
    <t>Test successful coverage</t>
  </si>
  <si>
    <t>&lt;List of documents which are referred in this version.&gt;</t>
  </si>
  <si>
    <t>Test data</t>
    <phoneticPr fontId="0" type="noConversion"/>
  </si>
  <si>
    <t>Description</t>
    <phoneticPr fontId="0" type="noConversion"/>
  </si>
  <si>
    <t>Test data</t>
  </si>
  <si>
    <t>TestData01</t>
  </si>
  <si>
    <t>TestData02</t>
  </si>
  <si>
    <t>TestData03</t>
  </si>
  <si>
    <t>TestData04</t>
  </si>
  <si>
    <t>TestData05</t>
  </si>
  <si>
    <t>TestData06</t>
  </si>
  <si>
    <t>TestData07</t>
  </si>
  <si>
    <t>TestData08</t>
  </si>
  <si>
    <t>TestData09</t>
  </si>
  <si>
    <t>TestData10</t>
  </si>
  <si>
    <t>TestData11</t>
  </si>
  <si>
    <t>Browser Compatibility</t>
  </si>
  <si>
    <t xml:space="preserve">OS Compatibility </t>
  </si>
  <si>
    <t>Verify website layout on Chrome</t>
  </si>
  <si>
    <t>App deployed, Chrome installed</t>
  </si>
  <si>
    <t>Layout displayed correctly</t>
  </si>
  <si>
    <t>Browser: Chrome</t>
  </si>
  <si>
    <t>Verify website layout on Safari</t>
  </si>
  <si>
    <t>App deployed, Safari installed</t>
  </si>
  <si>
    <t>Browser: Safari</t>
  </si>
  <si>
    <t>Verify website layout on Edge</t>
  </si>
  <si>
    <t>App deployed, Edge installed</t>
  </si>
  <si>
    <t>Browser: Edge</t>
  </si>
  <si>
    <t>Verify login on all browsers</t>
  </si>
  <si>
    <t>User exists</t>
  </si>
  <si>
    <t>Login successful</t>
  </si>
  <si>
    <t>Chrome, Safari, Edge</t>
  </si>
  <si>
    <t>Verify add to cart on all browsers</t>
  </si>
  <si>
    <t>User logged in</t>
  </si>
  <si>
    <t>Item added successfully</t>
  </si>
  <si>
    <t>Verify payment on all browsers</t>
  </si>
  <si>
    <t>Cart has items</t>
  </si>
  <si>
    <t>Payment successful</t>
  </si>
  <si>
    <t>Verify UI consistency across browsers</t>
  </si>
  <si>
    <t>App accessible</t>
  </si>
  <si>
    <t>UI consistent</t>
  </si>
  <si>
    <t>TC_BC_01</t>
  </si>
  <si>
    <t>TC_BC_02</t>
  </si>
  <si>
    <t>TC_BC_03</t>
  </si>
  <si>
    <t>TC_BC_04</t>
  </si>
  <si>
    <t>TC_BC_05</t>
  </si>
  <si>
    <t>TC_BC_06</t>
  </si>
  <si>
    <t>TC_BC_07</t>
  </si>
  <si>
    <t>Windows installed</t>
  </si>
  <si>
    <t>OS: Windows</t>
  </si>
  <si>
    <t>Verify layout on macOS</t>
  </si>
  <si>
    <t>macOS installed</t>
  </si>
  <si>
    <t>OS: macOS</t>
  </si>
  <si>
    <t>Verify login on Windows and macOS</t>
  </si>
  <si>
    <t>Windows, macOS</t>
  </si>
  <si>
    <t>Verify add to cart on Windows and macOS</t>
  </si>
  <si>
    <t>Verify payment on Windows and macOS</t>
  </si>
  <si>
    <t>Verify UI consistency on Windows and macOS</t>
  </si>
  <si>
    <t>TC_OSC_01</t>
  </si>
  <si>
    <t>TC_OSC_02</t>
  </si>
  <si>
    <t>TC_OSC_03</t>
  </si>
  <si>
    <t>TC_OSC_04</t>
  </si>
  <si>
    <t>TC_OSC_05</t>
  </si>
  <si>
    <t>TC_OSC_06</t>
  </si>
  <si>
    <t>Pre condition</t>
  </si>
  <si>
    <t>Pre-condition</t>
  </si>
  <si>
    <t>Environment</t>
  </si>
  <si>
    <t>1. Open Browser on Windows/macOS.
2. Navigate to Login Page.
3. Enter valid Username &amp; Password.
4. Click 'Login' button.</t>
  </si>
  <si>
    <t>Verify layout on Windows</t>
  </si>
  <si>
    <t>1. Open Browser on Windows
2. Access website on Windows
3. Access website admin on Windows.</t>
  </si>
  <si>
    <t>1. Open Browser on Windows/macOS.
2. Navigate to Login Page.
3. Enter valid Username &amp; Password.
4. Click 'Login' button.
5. Adding food item from Menu page</t>
  </si>
  <si>
    <t>1. Open Browser on Windows/macOS.
2. Navigate to Login Page.
3. Enter valid Username &amp; Password.
4. Click 'Login' button.
5. Adding food item from Menu page
6. Go to cart to checkout</t>
  </si>
  <si>
    <t>1. Open Browser on Windows and macOS.
2. Access website and admin website
3. Compare UI elements</t>
  </si>
  <si>
    <t>testdata01</t>
  </si>
  <si>
    <t>testdata02</t>
  </si>
  <si>
    <t>testdata03</t>
  </si>
  <si>
    <t>testdata04</t>
  </si>
  <si>
    <t>testdata05</t>
  </si>
  <si>
    <t>testdata06</t>
  </si>
  <si>
    <t>testdata</t>
  </si>
  <si>
    <t>Environment Data</t>
  </si>
  <si>
    <t>testdata07</t>
  </si>
  <si>
    <t>testdata08</t>
  </si>
  <si>
    <t>testdata09</t>
  </si>
  <si>
    <t>testdata10</t>
  </si>
  <si>
    <t>testdata11</t>
  </si>
  <si>
    <t>testdata12</t>
  </si>
  <si>
    <t>testdata13</t>
  </si>
  <si>
    <t>1. Open the Homepage on the target environment.
2. Scroll from top to bottom.
3. Resize browser window (if applicable).
4. Check alignment of Header, Footer, and Body sections.</t>
  </si>
  <si>
    <t>1. Navigate through Home, Product, and Cart pages.
2. Observe the Font style and Font size.
3. Check Icon alignment and resolution.
4. Compare visual elements against the Design System (or Baseline).</t>
  </si>
  <si>
    <t>1. Navigate to the Login page.
2. Enter valid Username.
3. Enter valid Password.
4. Click the 'Login' button.</t>
  </si>
  <si>
    <t>1. Go to the Product Listing page.
2. Click on a specific product image.
3. Verify Product Detail page loads.
4. Click the 'Add to Cart' button.</t>
  </si>
  <si>
    <t>1. Click on the Cart icon to view cart.
2. Click the 'Checkout' button.
3. Enter valid Shipping Information.
4. Enter valid Payment details.
5. Click 'Place Order' (or Pay).</t>
  </si>
  <si>
    <t>TestDataID</t>
  </si>
  <si>
    <t>Data Details</t>
  </si>
  <si>
    <t>Used Test Case</t>
  </si>
  <si>
    <t>Homepage layout test data</t>
  </si>
  <si>
    <t>Valid login credentials</t>
  </si>
  <si>
    <t>Add-to-cart product data</t>
  </si>
  <si>
    <t>Payment data</t>
  </si>
  <si>
    <t>UI reference data</t>
  </si>
  <si>
    <t>Windows layout test data</t>
  </si>
  <si>
    <t>macOS layout test data</t>
  </si>
  <si>
    <t>Login data for OS compatibility</t>
  </si>
  <si>
    <t>Add-to-cart data for OS compatibility</t>
  </si>
  <si>
    <t>TestData12</t>
  </si>
  <si>
    <t>Payment data for OS compatibility</t>
  </si>
  <si>
    <t>TestData13</t>
  </si>
  <si>
    <t>UI reference data for OS compatibility</t>
  </si>
  <si>
    <t>Font, color, icons consistent</t>
  </si>
  <si>
    <t>Product: Burger; Detail: Ngon</t>
  </si>
  <si>
    <t>OS: Windows 11; Resolution: 1920x1080</t>
  </si>
  <si>
    <t>OS: macOS 26; Resolution: 1440x900</t>
  </si>
  <si>
    <t>Product: Pizza; Detail: ngon</t>
  </si>
  <si>
    <t>Visa; Amount: Valid order total</t>
  </si>
  <si>
    <t>Font: Outfit; Icons: Material Icons</t>
  </si>
  <si>
    <t>Credit Card: 4242 4242 4242; Exp: 12/27; CVV: 123; Name: Tinh</t>
  </si>
  <si>
    <t>URL: Application homepage; URL admin:</t>
  </si>
  <si>
    <t>Module</t>
  </si>
  <si>
    <t>Module 1</t>
  </si>
  <si>
    <t>Module 2</t>
  </si>
  <si>
    <t>Username: user1@gmail.com; Password: 123123123</t>
  </si>
  <si>
    <t>Module3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</si>
</sst>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mm\-yy;@"/>
  </numFmts>
  <fonts count="23">
    <font>
      <sz val="11"/>
      <name val="ＭＳ Ｐゴシック"/>
      <family val="3"/>
      <charset val="128"/>
    </font>
    <font>
      <sz val="9"/>
      <name val="ＭＳ ゴシック"/>
      <family val="3"/>
      <charset val="128"/>
    </font>
    <font>
      <sz val="10"/>
      <name val="Tahoma"/>
      <family val="2"/>
    </font>
    <font>
      <b/>
      <sz val="22"/>
      <color indexed="10"/>
      <name val="Tahoma"/>
      <family val="2"/>
    </font>
    <font>
      <b/>
      <sz val="26"/>
      <color indexed="10"/>
      <name val="Tahoma"/>
      <family val="2"/>
    </font>
    <font>
      <b/>
      <sz val="20"/>
      <color indexed="8"/>
      <name val="Tahoma"/>
      <family val="2"/>
    </font>
    <font>
      <b/>
      <sz val="10"/>
      <color indexed="60"/>
      <name val="Tahoma"/>
      <family val="2"/>
    </font>
    <font>
      <i/>
      <sz val="10"/>
      <color indexed="17"/>
      <name val="Tahoma"/>
      <family val="2"/>
    </font>
    <font>
      <b/>
      <sz val="10"/>
      <color indexed="9"/>
      <name val="Tahoma"/>
      <family val="2"/>
    </font>
    <font>
      <b/>
      <sz val="10"/>
      <color indexed="8"/>
      <name val="Times New Roman"/>
      <family val="1"/>
    </font>
    <font>
      <sz val="10"/>
      <color indexed="8"/>
      <name val="Times New Roman"/>
      <family val="1"/>
    </font>
    <font>
      <b/>
      <sz val="10"/>
      <color indexed="8"/>
      <name val="Tahoma"/>
      <family val="2"/>
    </font>
    <font>
      <b/>
      <sz val="10"/>
      <color indexed="10"/>
      <name val="Tahoma"/>
      <family val="2"/>
    </font>
    <font>
      <b/>
      <sz val="10"/>
      <name val="Tahoma"/>
      <family val="2"/>
    </font>
    <font>
      <u/>
      <sz val="10"/>
      <color indexed="12"/>
      <name val="Tahoma"/>
      <family val="2"/>
    </font>
    <font>
      <u/>
      <sz val="11"/>
      <color indexed="12"/>
      <name val="ＭＳ Ｐゴシック"/>
      <family val="3"/>
      <charset val="128"/>
    </font>
    <font>
      <sz val="10"/>
      <color indexed="8"/>
      <name val="Tahoma"/>
      <family val="2"/>
    </font>
    <font>
      <sz val="10"/>
      <color indexed="9"/>
      <name val="Tahoma"/>
      <family val="2"/>
    </font>
    <font>
      <b/>
      <sz val="10"/>
      <color indexed="12"/>
      <name val="Tahoma"/>
      <family val="2"/>
    </font>
    <font>
      <sz val="11"/>
      <name val="ＭＳ Ｐゴシック"/>
      <family val="3"/>
      <charset val="128"/>
    </font>
    <font>
      <sz val="8"/>
      <name val="ＭＳ Ｐゴシック"/>
      <family val="3"/>
      <charset val="128"/>
    </font>
    <font>
      <sz val="11"/>
      <color rgb="FF000000"/>
      <name val="Calibri"/>
      <family val="2"/>
    </font>
    <font>
      <sz val="14"/>
      <name val="Times New Roman"/>
      <family val="1"/>
    </font>
  </fonts>
  <fills count="6">
    <fill>
      <patternFill patternType="none"/>
    </fill>
    <fill>
      <patternFill patternType="gray125"/>
    </fill>
    <fill>
      <patternFill patternType="solid">
        <fgColor indexed="9"/>
        <bgColor indexed="26"/>
      </patternFill>
    </fill>
    <fill>
      <patternFill patternType="solid">
        <fgColor indexed="18"/>
        <bgColor indexed="32"/>
      </patternFill>
    </fill>
    <fill>
      <patternFill patternType="solid">
        <fgColor indexed="62"/>
        <bgColor indexed="56"/>
      </patternFill>
    </fill>
    <fill>
      <patternFill patternType="solid">
        <fgColor theme="7" tint="0.79998168889431442"/>
        <bgColor indexed="64"/>
      </patternFill>
    </fill>
  </fills>
  <borders count="33">
    <border>
      <left/>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thin">
        <color indexed="8"/>
      </top>
      <bottom style="hair">
        <color indexed="8"/>
      </bottom>
      <diagonal/>
    </border>
    <border>
      <left style="hair">
        <color indexed="8"/>
      </left>
      <right style="thin">
        <color indexed="8"/>
      </right>
      <top style="thin">
        <color indexed="8"/>
      </top>
      <bottom style="hair">
        <color indexed="8"/>
      </bottom>
      <diagonal/>
    </border>
    <border>
      <left style="thin">
        <color indexed="8"/>
      </left>
      <right style="hair">
        <color indexed="8"/>
      </right>
      <top style="hair">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thin">
        <color indexed="8"/>
      </right>
      <top style="hair">
        <color indexed="8"/>
      </top>
      <bottom style="hair">
        <color indexed="8"/>
      </bottom>
      <diagonal/>
    </border>
    <border>
      <left style="thin">
        <color indexed="8"/>
      </left>
      <right style="hair">
        <color indexed="8"/>
      </right>
      <top style="hair">
        <color indexed="8"/>
      </top>
      <bottom style="thin">
        <color indexed="8"/>
      </bottom>
      <diagonal/>
    </border>
    <border>
      <left style="hair">
        <color indexed="8"/>
      </left>
      <right style="hair">
        <color indexed="8"/>
      </right>
      <top style="hair">
        <color indexed="8"/>
      </top>
      <bottom style="thin">
        <color indexed="8"/>
      </bottom>
      <diagonal/>
    </border>
    <border>
      <left style="hair">
        <color indexed="8"/>
      </left>
      <right style="thin">
        <color indexed="8"/>
      </right>
      <top style="hair">
        <color indexed="8"/>
      </top>
      <bottom style="thin">
        <color indexed="8"/>
      </bottom>
      <diagonal/>
    </border>
    <border>
      <left style="hair">
        <color indexed="8"/>
      </left>
      <right/>
      <top style="thin">
        <color indexed="8"/>
      </top>
      <bottom style="hair">
        <color indexed="8"/>
      </bottom>
      <diagonal/>
    </border>
    <border>
      <left/>
      <right/>
      <top/>
      <bottom style="medium">
        <color indexed="8"/>
      </bottom>
      <diagonal/>
    </border>
    <border>
      <left style="medium">
        <color indexed="8"/>
      </left>
      <right style="thin">
        <color indexed="8"/>
      </right>
      <top/>
      <bottom style="thin">
        <color indexed="8"/>
      </bottom>
      <diagonal/>
    </border>
    <border>
      <left style="medium">
        <color indexed="8"/>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right style="thin">
        <color indexed="8"/>
      </right>
      <top style="thin">
        <color indexed="8"/>
      </top>
      <bottom style="medium">
        <color indexed="8"/>
      </bottom>
      <diagonal/>
    </border>
    <border>
      <left/>
      <right style="medium">
        <color indexed="8"/>
      </right>
      <top/>
      <bottom/>
      <diagonal/>
    </border>
    <border>
      <left/>
      <right style="hair">
        <color indexed="8"/>
      </right>
      <top style="thin">
        <color indexed="8"/>
      </top>
      <bottom style="hair">
        <color indexed="8"/>
      </bottom>
      <diagonal/>
    </border>
    <border>
      <left style="hair">
        <color indexed="8"/>
      </left>
      <right style="medium">
        <color indexed="8"/>
      </right>
      <top style="thin">
        <color indexed="8"/>
      </top>
      <bottom style="hair">
        <color indexed="8"/>
      </bottom>
      <diagonal/>
    </border>
    <border>
      <left/>
      <right style="hair">
        <color indexed="8"/>
      </right>
      <top style="hair">
        <color indexed="8"/>
      </top>
      <bottom style="hair">
        <color indexed="8"/>
      </bottom>
      <diagonal/>
    </border>
    <border>
      <left style="hair">
        <color indexed="8"/>
      </left>
      <right/>
      <top style="hair">
        <color indexed="8"/>
      </top>
      <bottom style="hair">
        <color indexed="8"/>
      </bottom>
      <diagonal/>
    </border>
    <border>
      <left/>
      <right style="hair">
        <color indexed="8"/>
      </right>
      <top style="hair">
        <color indexed="8"/>
      </top>
      <bottom style="thin">
        <color indexed="8"/>
      </bottom>
      <diagonal/>
    </border>
    <border>
      <left style="hair">
        <color indexed="8"/>
      </left>
      <right style="medium">
        <color indexed="8"/>
      </right>
      <top style="hair">
        <color indexed="8"/>
      </top>
      <bottom style="thin">
        <color indexed="8"/>
      </bottom>
      <diagonal/>
    </border>
    <border>
      <left style="thin">
        <color indexed="8"/>
      </left>
      <right style="medium">
        <color indexed="8"/>
      </right>
      <top style="thin">
        <color indexed="8"/>
      </top>
      <bottom style="medium">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8"/>
      </right>
      <top/>
      <bottom style="thin">
        <color indexed="8"/>
      </bottom>
      <diagonal/>
    </border>
    <border>
      <left style="thin">
        <color indexed="64"/>
      </left>
      <right style="thin">
        <color indexed="64"/>
      </right>
      <top style="thin">
        <color indexed="64"/>
      </top>
      <bottom style="thin">
        <color indexed="64"/>
      </bottom>
      <diagonal/>
    </border>
    <border>
      <left style="hair">
        <color indexed="8"/>
      </left>
      <right style="medium">
        <color indexed="8"/>
      </right>
      <top style="hair">
        <color indexed="8"/>
      </top>
      <bottom/>
      <diagonal/>
    </border>
    <border>
      <left style="hair">
        <color indexed="8"/>
      </left>
      <right style="medium">
        <color indexed="8"/>
      </right>
      <top/>
      <bottom style="hair">
        <color indexed="8"/>
      </bottom>
      <diagonal/>
    </border>
  </borders>
  <cellStyleXfs count="5">
    <xf numFmtId="0" fontId="0" fillId="0" borderId="0"/>
    <xf numFmtId="0" fontId="15" fillId="0" borderId="0" applyNumberFormat="0" applyFill="0" applyBorder="0" applyAlignment="0" applyProtection="0"/>
    <xf numFmtId="0" fontId="19" fillId="0" borderId="0"/>
    <xf numFmtId="0" fontId="19" fillId="0" borderId="0"/>
    <xf numFmtId="0" fontId="1" fillId="0" borderId="0"/>
  </cellStyleXfs>
  <cellXfs count="137">
    <xf numFmtId="0" fontId="0" fillId="0" borderId="0" xfId="0"/>
    <xf numFmtId="0" fontId="2" fillId="0" borderId="0" xfId="0" applyFont="1"/>
    <xf numFmtId="0" fontId="2" fillId="0" borderId="0" xfId="0" applyFont="1" applyAlignment="1">
      <alignment horizontal="left" indent="1"/>
    </xf>
    <xf numFmtId="0" fontId="3" fillId="2" borderId="0" xfId="0" applyFont="1" applyFill="1" applyAlignment="1">
      <alignment horizontal="center" vertical="center"/>
    </xf>
    <xf numFmtId="0" fontId="4" fillId="0" borderId="1" xfId="0" applyFont="1" applyBorder="1" applyAlignment="1">
      <alignment horizontal="center" vertical="center"/>
    </xf>
    <xf numFmtId="0" fontId="2" fillId="0" borderId="0" xfId="0" applyFont="1" applyAlignment="1">
      <alignment horizontal="center" vertical="center"/>
    </xf>
    <xf numFmtId="0" fontId="6" fillId="2" borderId="0" xfId="0" applyFont="1" applyFill="1" applyAlignment="1">
      <alignment horizontal="left" indent="1"/>
    </xf>
    <xf numFmtId="0" fontId="7" fillId="0" borderId="0" xfId="0" applyFont="1" applyAlignment="1">
      <alignment horizontal="left" indent="1"/>
    </xf>
    <xf numFmtId="0" fontId="2" fillId="2" borderId="0" xfId="0" applyFont="1" applyFill="1"/>
    <xf numFmtId="0" fontId="6" fillId="2" borderId="2" xfId="0" applyFont="1" applyFill="1" applyBorder="1" applyAlignment="1">
      <alignment horizontal="left"/>
    </xf>
    <xf numFmtId="0" fontId="2" fillId="0" borderId="3" xfId="0" applyFont="1" applyBorder="1"/>
    <xf numFmtId="0" fontId="6" fillId="2" borderId="2" xfId="0" applyFont="1" applyFill="1" applyBorder="1" applyAlignment="1">
      <alignment horizontal="left" vertical="center"/>
    </xf>
    <xf numFmtId="0" fontId="7" fillId="0" borderId="3" xfId="0" applyFont="1" applyBorder="1" applyAlignment="1">
      <alignment horizontal="left" indent="1"/>
    </xf>
    <xf numFmtId="0" fontId="6" fillId="2" borderId="0" xfId="0" applyFont="1" applyFill="1"/>
    <xf numFmtId="0" fontId="7" fillId="0" borderId="0" xfId="0" applyFont="1" applyAlignment="1">
      <alignment horizontal="left"/>
    </xf>
    <xf numFmtId="0" fontId="6" fillId="0" borderId="0" xfId="0" applyFont="1" applyAlignment="1">
      <alignment horizontal="left"/>
    </xf>
    <xf numFmtId="0" fontId="2" fillId="0" borderId="0" xfId="0" applyFont="1" applyAlignment="1">
      <alignment vertical="center"/>
    </xf>
    <xf numFmtId="164" fontId="8" fillId="3" borderId="4" xfId="0" applyNumberFormat="1" applyFont="1" applyFill="1" applyBorder="1" applyAlignment="1">
      <alignment horizontal="center" vertical="center"/>
    </xf>
    <xf numFmtId="0" fontId="8" fillId="3" borderId="5" xfId="0" applyFont="1" applyFill="1" applyBorder="1" applyAlignment="1">
      <alignment horizontal="center" vertical="center"/>
    </xf>
    <xf numFmtId="0" fontId="8" fillId="3" borderId="6" xfId="0" applyFont="1" applyFill="1" applyBorder="1" applyAlignment="1">
      <alignment horizontal="center" vertical="center"/>
    </xf>
    <xf numFmtId="0" fontId="2" fillId="0" borderId="0" xfId="0" applyFont="1" applyAlignment="1">
      <alignment vertical="top"/>
    </xf>
    <xf numFmtId="0" fontId="7" fillId="0" borderId="7" xfId="0" applyFont="1" applyBorder="1" applyAlignment="1">
      <alignment vertical="top" wrapText="1"/>
    </xf>
    <xf numFmtId="49" fontId="2" fillId="0" borderId="8" xfId="0" applyNumberFormat="1" applyFont="1" applyBorder="1" applyAlignment="1">
      <alignment vertical="top"/>
    </xf>
    <xf numFmtId="0" fontId="2" fillId="0" borderId="8" xfId="0" applyFont="1" applyBorder="1" applyAlignment="1">
      <alignment vertical="top"/>
    </xf>
    <xf numFmtId="15" fontId="2" fillId="0" borderId="8" xfId="0" applyNumberFormat="1" applyFont="1" applyBorder="1" applyAlignment="1">
      <alignment vertical="top"/>
    </xf>
    <xf numFmtId="0" fontId="7" fillId="0" borderId="9" xfId="0" applyFont="1" applyBorder="1" applyAlignment="1">
      <alignment vertical="top" wrapText="1"/>
    </xf>
    <xf numFmtId="164" fontId="2" fillId="0" borderId="7" xfId="0" applyNumberFormat="1" applyFont="1" applyBorder="1" applyAlignment="1">
      <alignment vertical="top"/>
    </xf>
    <xf numFmtId="0" fontId="2" fillId="0" borderId="9" xfId="0" applyFont="1" applyBorder="1" applyAlignment="1">
      <alignment vertical="top"/>
    </xf>
    <xf numFmtId="164" fontId="2" fillId="0" borderId="10" xfId="0" applyNumberFormat="1" applyFont="1" applyBorder="1" applyAlignment="1">
      <alignment vertical="top"/>
    </xf>
    <xf numFmtId="49" fontId="2" fillId="0" borderId="11" xfId="0" applyNumberFormat="1" applyFont="1" applyBorder="1" applyAlignment="1">
      <alignment vertical="top"/>
    </xf>
    <xf numFmtId="0" fontId="2" fillId="0" borderId="11" xfId="0" applyFont="1" applyBorder="1" applyAlignment="1">
      <alignment vertical="top"/>
    </xf>
    <xf numFmtId="0" fontId="2" fillId="0" borderId="12" xfId="0" applyFont="1" applyBorder="1" applyAlignment="1">
      <alignment vertical="top"/>
    </xf>
    <xf numFmtId="1" fontId="2" fillId="2" borderId="0" xfId="0" applyNumberFormat="1" applyFont="1" applyFill="1"/>
    <xf numFmtId="0" fontId="2" fillId="2" borderId="0" xfId="0" applyFont="1" applyFill="1" applyAlignment="1">
      <alignment horizontal="left"/>
    </xf>
    <xf numFmtId="1" fontId="2" fillId="2" borderId="0" xfId="0" applyNumberFormat="1" applyFont="1" applyFill="1" applyProtection="1">
      <protection hidden="1"/>
    </xf>
    <xf numFmtId="0" fontId="5" fillId="2" borderId="0" xfId="0" applyFont="1" applyFill="1" applyAlignment="1">
      <alignment horizontal="left"/>
    </xf>
    <xf numFmtId="0" fontId="11" fillId="2" borderId="0" xfId="0" applyFont="1" applyFill="1" applyAlignment="1">
      <alignment horizontal="left"/>
    </xf>
    <xf numFmtId="0" fontId="12" fillId="2" borderId="0" xfId="0" applyFont="1" applyFill="1" applyAlignment="1">
      <alignment horizontal="left"/>
    </xf>
    <xf numFmtId="0" fontId="2" fillId="2" borderId="0" xfId="0" applyFont="1" applyFill="1" applyAlignment="1">
      <alignment wrapText="1"/>
    </xf>
    <xf numFmtId="1" fontId="6" fillId="2" borderId="0" xfId="0" applyNumberFormat="1" applyFont="1" applyFill="1"/>
    <xf numFmtId="0" fontId="2" fillId="2" borderId="0" xfId="0" applyFont="1" applyFill="1" applyAlignment="1">
      <alignment vertical="center"/>
    </xf>
    <xf numFmtId="1" fontId="2" fillId="2" borderId="0" xfId="0" applyNumberFormat="1" applyFont="1" applyFill="1" applyAlignment="1" applyProtection="1">
      <alignment vertical="center"/>
      <protection hidden="1"/>
    </xf>
    <xf numFmtId="0" fontId="2" fillId="2" borderId="0" xfId="0" applyFont="1" applyFill="1" applyAlignment="1">
      <alignment horizontal="left" vertical="center"/>
    </xf>
    <xf numFmtId="0" fontId="13" fillId="2" borderId="0" xfId="0" applyFont="1" applyFill="1" applyAlignment="1">
      <alignment horizontal="center"/>
    </xf>
    <xf numFmtId="1" fontId="8" fillId="4" borderId="4" xfId="0" applyNumberFormat="1" applyFont="1" applyFill="1" applyBorder="1" applyAlignment="1">
      <alignment horizontal="center" vertical="center"/>
    </xf>
    <xf numFmtId="0" fontId="8" fillId="4" borderId="5" xfId="0" applyFont="1" applyFill="1" applyBorder="1" applyAlignment="1">
      <alignment horizontal="center" vertical="center"/>
    </xf>
    <xf numFmtId="0" fontId="8" fillId="4" borderId="13" xfId="0" applyFont="1" applyFill="1" applyBorder="1" applyAlignment="1">
      <alignment horizontal="center" vertical="center"/>
    </xf>
    <xf numFmtId="0" fontId="8" fillId="4" borderId="6" xfId="0" applyFont="1" applyFill="1" applyBorder="1" applyAlignment="1">
      <alignment horizontal="center" vertical="center"/>
    </xf>
    <xf numFmtId="1" fontId="2" fillId="2" borderId="7" xfId="0" applyNumberFormat="1" applyFont="1" applyFill="1" applyBorder="1" applyAlignment="1">
      <alignment vertical="center"/>
    </xf>
    <xf numFmtId="49" fontId="2" fillId="2" borderId="8" xfId="0" applyNumberFormat="1" applyFont="1" applyFill="1" applyBorder="1" applyAlignment="1">
      <alignment horizontal="left" vertical="center"/>
    </xf>
    <xf numFmtId="0" fontId="14" fillId="2" borderId="8" xfId="1" applyNumberFormat="1" applyFont="1" applyFill="1" applyBorder="1" applyAlignment="1" applyProtection="1">
      <alignment horizontal="left" vertical="center"/>
    </xf>
    <xf numFmtId="0" fontId="2" fillId="2" borderId="9" xfId="0" applyFont="1" applyFill="1" applyBorder="1" applyAlignment="1">
      <alignment horizontal="left" vertical="center"/>
    </xf>
    <xf numFmtId="0" fontId="2" fillId="2" borderId="8" xfId="0" applyFont="1" applyFill="1" applyBorder="1" applyAlignment="1">
      <alignment horizontal="left" vertical="center"/>
    </xf>
    <xf numFmtId="1" fontId="2" fillId="2" borderId="10" xfId="0" applyNumberFormat="1" applyFont="1" applyFill="1" applyBorder="1" applyAlignment="1">
      <alignment vertical="center"/>
    </xf>
    <xf numFmtId="49" fontId="2" fillId="2" borderId="11" xfId="0" applyNumberFormat="1" applyFont="1" applyFill="1" applyBorder="1" applyAlignment="1">
      <alignment horizontal="left" vertical="center"/>
    </xf>
    <xf numFmtId="0" fontId="2" fillId="2" borderId="11" xfId="0" applyFont="1" applyFill="1" applyBorder="1" applyAlignment="1">
      <alignment horizontal="left" vertical="center"/>
    </xf>
    <xf numFmtId="0" fontId="2" fillId="2" borderId="12" xfId="0" applyFont="1" applyFill="1" applyBorder="1" applyAlignment="1">
      <alignment horizontal="left" vertical="center"/>
    </xf>
    <xf numFmtId="0" fontId="16" fillId="2" borderId="14" xfId="0" applyFont="1" applyFill="1" applyBorder="1"/>
    <xf numFmtId="0" fontId="16" fillId="2" borderId="14" xfId="0" applyFont="1" applyFill="1" applyBorder="1" applyAlignment="1">
      <alignment wrapText="1"/>
    </xf>
    <xf numFmtId="0" fontId="2" fillId="2" borderId="14" xfId="0" applyFont="1" applyFill="1" applyBorder="1" applyAlignment="1">
      <alignment wrapText="1"/>
    </xf>
    <xf numFmtId="0" fontId="13" fillId="2" borderId="0" xfId="0" applyFont="1" applyFill="1" applyAlignment="1">
      <alignment wrapText="1"/>
    </xf>
    <xf numFmtId="0" fontId="16" fillId="2" borderId="0" xfId="0" applyFont="1" applyFill="1"/>
    <xf numFmtId="0" fontId="13" fillId="2" borderId="15" xfId="3" applyFont="1" applyFill="1" applyBorder="1" applyAlignment="1">
      <alignment horizontal="left" wrapText="1"/>
    </xf>
    <xf numFmtId="0" fontId="13" fillId="2" borderId="16" xfId="3" applyFont="1" applyFill="1" applyBorder="1" applyAlignment="1">
      <alignment horizontal="left" wrapText="1"/>
    </xf>
    <xf numFmtId="0" fontId="11" fillId="2" borderId="0" xfId="0" applyFont="1" applyFill="1"/>
    <xf numFmtId="0" fontId="11" fillId="2" borderId="16" xfId="0" applyFont="1" applyFill="1" applyBorder="1" applyAlignment="1">
      <alignment horizontal="center" vertical="center"/>
    </xf>
    <xf numFmtId="0" fontId="11"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2" fillId="2" borderId="0" xfId="0" applyFont="1" applyFill="1" applyAlignment="1">
      <alignment horizontal="center" wrapText="1"/>
    </xf>
    <xf numFmtId="0" fontId="16" fillId="2" borderId="17" xfId="0" applyFont="1" applyFill="1" applyBorder="1" applyAlignment="1">
      <alignment horizontal="center" vertical="center"/>
    </xf>
    <xf numFmtId="0" fontId="16" fillId="2" borderId="18" xfId="0" applyFont="1" applyFill="1" applyBorder="1" applyAlignment="1">
      <alignment horizontal="center" vertical="center"/>
    </xf>
    <xf numFmtId="0" fontId="16" fillId="2" borderId="19" xfId="0" applyFont="1" applyFill="1" applyBorder="1" applyAlignment="1">
      <alignment horizontal="center" vertical="center"/>
    </xf>
    <xf numFmtId="0" fontId="16" fillId="2" borderId="0" xfId="0" applyFont="1" applyFill="1" applyAlignment="1">
      <alignment horizontal="center" wrapText="1"/>
    </xf>
    <xf numFmtId="0" fontId="13" fillId="2" borderId="0" xfId="2" applyFont="1" applyFill="1"/>
    <xf numFmtId="0" fontId="2" fillId="2" borderId="0" xfId="2" applyFont="1" applyFill="1"/>
    <xf numFmtId="164" fontId="2" fillId="2" borderId="0" xfId="2" applyNumberFormat="1" applyFont="1" applyFill="1"/>
    <xf numFmtId="0" fontId="6" fillId="2" borderId="3" xfId="0" applyFont="1" applyFill="1" applyBorder="1" applyAlignment="1">
      <alignment horizontal="left"/>
    </xf>
    <xf numFmtId="0" fontId="2" fillId="2" borderId="3" xfId="0" applyFont="1" applyFill="1" applyBorder="1" applyAlignment="1">
      <alignment vertical="top"/>
    </xf>
    <xf numFmtId="0" fontId="6" fillId="2" borderId="2" xfId="0" applyFont="1" applyFill="1" applyBorder="1" applyAlignment="1">
      <alignment vertical="center"/>
    </xf>
    <xf numFmtId="0" fontId="7" fillId="2" borderId="3" xfId="0" applyFont="1" applyFill="1" applyBorder="1" applyAlignment="1">
      <alignment vertical="top"/>
    </xf>
    <xf numFmtId="0" fontId="7" fillId="2" borderId="0" xfId="2" applyFont="1" applyFill="1"/>
    <xf numFmtId="0" fontId="2" fillId="2" borderId="20" xfId="0" applyFont="1" applyFill="1" applyBorder="1"/>
    <xf numFmtId="0" fontId="8" fillId="3" borderId="21" xfId="0" applyFont="1" applyFill="1" applyBorder="1" applyAlignment="1">
      <alignment horizontal="center"/>
    </xf>
    <xf numFmtId="0" fontId="8" fillId="3" borderId="5" xfId="0" applyFont="1" applyFill="1" applyBorder="1" applyAlignment="1">
      <alignment horizontal="center"/>
    </xf>
    <xf numFmtId="0" fontId="8" fillId="3" borderId="5" xfId="0" applyFont="1" applyFill="1" applyBorder="1" applyAlignment="1">
      <alignment horizontal="center" wrapText="1"/>
    </xf>
    <xf numFmtId="0" fontId="8" fillId="3" borderId="13" xfId="0" applyFont="1" applyFill="1" applyBorder="1" applyAlignment="1">
      <alignment horizontal="center"/>
    </xf>
    <xf numFmtId="0" fontId="8" fillId="3" borderId="22" xfId="0" applyFont="1" applyFill="1" applyBorder="1" applyAlignment="1">
      <alignment horizontal="center" wrapText="1"/>
    </xf>
    <xf numFmtId="0" fontId="2" fillId="2" borderId="23" xfId="0" applyFont="1" applyFill="1" applyBorder="1" applyAlignment="1">
      <alignment horizontal="center"/>
    </xf>
    <xf numFmtId="0" fontId="2" fillId="2" borderId="8" xfId="0" applyFont="1" applyFill="1" applyBorder="1"/>
    <xf numFmtId="0" fontId="2" fillId="2" borderId="8" xfId="0" applyFont="1" applyFill="1" applyBorder="1" applyAlignment="1">
      <alignment horizontal="center"/>
    </xf>
    <xf numFmtId="0" fontId="2" fillId="2" borderId="24" xfId="0" applyFont="1" applyFill="1" applyBorder="1" applyAlignment="1">
      <alignment horizontal="center"/>
    </xf>
    <xf numFmtId="0" fontId="17" fillId="3" borderId="25" xfId="0" applyFont="1" applyFill="1" applyBorder="1" applyAlignment="1">
      <alignment horizontal="center"/>
    </xf>
    <xf numFmtId="0" fontId="8" fillId="3" borderId="11" xfId="0" applyFont="1" applyFill="1" applyBorder="1"/>
    <xf numFmtId="0" fontId="17" fillId="3" borderId="11" xfId="0" applyFont="1" applyFill="1" applyBorder="1" applyAlignment="1">
      <alignment horizontal="center"/>
    </xf>
    <xf numFmtId="0" fontId="17" fillId="3" borderId="26" xfId="0" applyFont="1" applyFill="1" applyBorder="1" applyAlignment="1">
      <alignment horizontal="center"/>
    </xf>
    <xf numFmtId="0" fontId="2" fillId="2" borderId="0" xfId="0" applyFont="1" applyFill="1" applyAlignment="1">
      <alignment horizontal="center"/>
    </xf>
    <xf numFmtId="10" fontId="2" fillId="2" borderId="0" xfId="0" applyNumberFormat="1" applyFont="1" applyFill="1" applyAlignment="1">
      <alignment horizontal="center"/>
    </xf>
    <xf numFmtId="9" fontId="2" fillId="2" borderId="0" xfId="0" applyNumberFormat="1" applyFont="1" applyFill="1" applyAlignment="1">
      <alignment horizontal="center"/>
    </xf>
    <xf numFmtId="0" fontId="6" fillId="2" borderId="0" xfId="0" applyFont="1" applyFill="1" applyAlignment="1">
      <alignment horizontal="left"/>
    </xf>
    <xf numFmtId="2" fontId="18" fillId="2" borderId="0" xfId="0" applyNumberFormat="1" applyFont="1" applyFill="1" applyAlignment="1">
      <alignment horizontal="right" wrapText="1"/>
    </xf>
    <xf numFmtId="0" fontId="15" fillId="2" borderId="8" xfId="1" applyNumberFormat="1" applyFill="1" applyBorder="1" applyAlignment="1" applyProtection="1">
      <alignment horizontal="left" vertical="center"/>
      <extLst>
        <ext xmlns:xfpb="http://schemas.microsoft.com/office/spreadsheetml/2022/featurepropertybag" uri="{C7286773-470A-42A8-94C5-96B5CB345126}">
          <xfpb:xfComplement i="0"/>
        </ext>
      </extLst>
    </xf>
    <xf numFmtId="0" fontId="15" fillId="2" borderId="8" xfId="1" applyNumberFormat="1" applyFill="1" applyBorder="1" applyAlignment="1" applyProtection="1">
      <alignment horizontal="left" vertical="center"/>
    </xf>
    <xf numFmtId="0" fontId="0" fillId="0" borderId="30" xfId="0" applyBorder="1" applyAlignment="1">
      <alignment horizontal="center" vertical="center" wrapText="1"/>
    </xf>
    <xf numFmtId="0" fontId="0" fillId="0" borderId="30" xfId="0" applyBorder="1" applyAlignment="1">
      <alignment horizontal="left" vertical="center" wrapText="1"/>
    </xf>
    <xf numFmtId="0" fontId="0" fillId="0" borderId="30" xfId="0" applyBorder="1" applyAlignment="1">
      <alignment vertical="center" wrapText="1"/>
    </xf>
    <xf numFmtId="0" fontId="8" fillId="3" borderId="30" xfId="3" applyFont="1" applyFill="1" applyBorder="1" applyAlignment="1">
      <alignment horizontal="center" vertical="center" wrapText="1"/>
    </xf>
    <xf numFmtId="0" fontId="0" fillId="0" borderId="30" xfId="0" applyBorder="1" applyAlignment="1">
      <alignment horizontal="center" vertical="center"/>
    </xf>
    <xf numFmtId="0" fontId="2" fillId="2" borderId="30" xfId="0" applyFont="1" applyFill="1" applyBorder="1" applyAlignment="1">
      <alignment horizontal="left" vertical="center"/>
    </xf>
    <xf numFmtId="0" fontId="2" fillId="2" borderId="30" xfId="0" applyFont="1" applyFill="1" applyBorder="1" applyAlignment="1">
      <alignment horizontal="center" vertical="center"/>
    </xf>
    <xf numFmtId="0" fontId="8" fillId="3" borderId="30" xfId="3" applyFont="1" applyFill="1" applyBorder="1" applyAlignment="1">
      <alignment horizontal="center" vertical="center"/>
    </xf>
    <xf numFmtId="0" fontId="0" fillId="0" borderId="30" xfId="0" applyBorder="1"/>
    <xf numFmtId="0" fontId="0" fillId="0" borderId="30" xfId="0" applyBorder="1" applyAlignment="1">
      <alignment vertical="center"/>
    </xf>
    <xf numFmtId="0" fontId="8" fillId="3" borderId="30" xfId="3" applyFont="1" applyFill="1" applyBorder="1" applyAlignment="1">
      <alignment horizontal="left" vertical="center" wrapText="1"/>
    </xf>
    <xf numFmtId="0" fontId="21" fillId="0" borderId="30" xfId="0" applyFont="1" applyBorder="1" applyAlignment="1">
      <alignment horizontal="left" vertical="center"/>
    </xf>
    <xf numFmtId="0" fontId="22" fillId="5" borderId="30" xfId="0" applyFont="1" applyFill="1" applyBorder="1"/>
    <xf numFmtId="0" fontId="22" fillId="0" borderId="30" xfId="0" applyFont="1" applyBorder="1"/>
    <xf numFmtId="0" fontId="22" fillId="0" borderId="30" xfId="0" applyFont="1" applyBorder="1" applyAlignment="1">
      <alignment wrapText="1"/>
    </xf>
    <xf numFmtId="0" fontId="22" fillId="5" borderId="30" xfId="0" applyFont="1" applyFill="1" applyBorder="1" applyAlignment="1">
      <alignment horizontal="center" vertical="center"/>
    </xf>
    <xf numFmtId="0" fontId="2" fillId="2" borderId="31" xfId="0" applyFont="1" applyFill="1" applyBorder="1" applyAlignment="1">
      <alignment horizontal="center"/>
    </xf>
    <xf numFmtId="0" fontId="2" fillId="2" borderId="32" xfId="0" applyFont="1" applyFill="1" applyBorder="1" applyAlignment="1">
      <alignment horizontal="center"/>
    </xf>
    <xf numFmtId="0" fontId="2" fillId="2" borderId="30" xfId="0" applyFont="1" applyFill="1" applyBorder="1" applyAlignment="1">
      <alignment horizontal="center"/>
    </xf>
    <xf numFmtId="0" fontId="5" fillId="0" borderId="2" xfId="0" applyFont="1" applyBorder="1" applyAlignment="1">
      <alignment horizontal="center" vertical="center"/>
    </xf>
    <xf numFmtId="0" fontId="7" fillId="0" borderId="2" xfId="0" applyFont="1" applyBorder="1" applyAlignment="1">
      <alignment horizontal="left"/>
    </xf>
    <xf numFmtId="0" fontId="6" fillId="2" borderId="2" xfId="0" applyFont="1" applyFill="1" applyBorder="1" applyAlignment="1">
      <alignment horizontal="left" vertical="center"/>
    </xf>
    <xf numFmtId="0" fontId="7" fillId="0" borderId="2" xfId="0" applyFont="1" applyBorder="1" applyAlignment="1">
      <alignment horizontal="left" vertical="center"/>
    </xf>
    <xf numFmtId="1" fontId="6" fillId="2" borderId="2" xfId="0" applyNumberFormat="1" applyFont="1" applyFill="1" applyBorder="1" applyAlignment="1">
      <alignment vertical="center" wrapText="1"/>
    </xf>
    <xf numFmtId="0" fontId="7" fillId="2" borderId="2" xfId="0" applyFont="1" applyFill="1" applyBorder="1" applyAlignment="1">
      <alignment vertical="top" wrapText="1"/>
    </xf>
    <xf numFmtId="1" fontId="6" fillId="2" borderId="1" xfId="0" applyNumberFormat="1" applyFont="1" applyFill="1" applyBorder="1"/>
    <xf numFmtId="0" fontId="7" fillId="2" borderId="2" xfId="0" applyFont="1" applyFill="1" applyBorder="1" applyAlignment="1">
      <alignment horizontal="left"/>
    </xf>
    <xf numFmtId="0" fontId="16" fillId="2" borderId="27" xfId="0" applyFont="1" applyFill="1" applyBorder="1" applyAlignment="1">
      <alignment horizontal="center" vertical="center" wrapText="1"/>
    </xf>
    <xf numFmtId="0" fontId="7" fillId="2" borderId="28" xfId="3" applyFont="1" applyFill="1" applyBorder="1" applyAlignment="1">
      <alignment horizontal="left" wrapText="1"/>
    </xf>
    <xf numFmtId="0" fontId="7" fillId="2" borderId="29" xfId="3" applyFont="1" applyFill="1" applyBorder="1" applyAlignment="1">
      <alignment horizontal="left" wrapText="1"/>
    </xf>
    <xf numFmtId="0" fontId="11" fillId="2" borderId="28" xfId="0" applyFont="1" applyFill="1" applyBorder="1" applyAlignment="1">
      <alignment horizontal="center" vertical="center" wrapText="1"/>
    </xf>
    <xf numFmtId="0" fontId="22" fillId="0" borderId="30" xfId="0" applyFont="1" applyBorder="1" applyAlignment="1">
      <alignment horizontal="center" vertical="center"/>
    </xf>
    <xf numFmtId="0" fontId="6" fillId="2" borderId="2" xfId="0" applyFont="1" applyFill="1" applyBorder="1" applyAlignment="1">
      <alignment horizontal="left"/>
    </xf>
    <xf numFmtId="0" fontId="7" fillId="2" borderId="2" xfId="2" applyFont="1" applyFill="1" applyBorder="1" applyAlignment="1">
      <alignment vertical="top"/>
    </xf>
    <xf numFmtId="0" fontId="5" fillId="2" borderId="0" xfId="2" applyFont="1" applyFill="1" applyAlignment="1">
      <alignment horizontal="center"/>
    </xf>
  </cellXfs>
  <cellStyles count="5">
    <cellStyle name="Hyperlink" xfId="1" builtinId="8"/>
    <cellStyle name="Normal" xfId="0" builtinId="0"/>
    <cellStyle name="Normal_Functional Test Case v1.0" xfId="2" xr:uid="{C48BB584-700B-D64B-8404-4676C820111A}"/>
    <cellStyle name="Normal_Sheet1" xfId="3" xr:uid="{A9264020-C429-5142-9C39-B67A411B90CE}"/>
    <cellStyle name="標準_結合試験(AllOvertheWorld)" xfId="4" xr:uid="{68F5B3C1-6BAD-E84F-8A2E-C6AF50D2838D}"/>
  </cellStyles>
  <dxfs count="0"/>
  <tableStyles count="1" defaultTableStyle="TableStyleMedium9" defaultPivotStyle="PivotStyleLight16">
    <tableStyle name="Invisible" pivot="0" table="0" count="0" xr9:uid="{AF480CE7-EB18-DC4D-AB1A-332A241A87F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8348D-9796-DF47-B02F-62DFD208A110}">
  <dimension ref="A2:G18"/>
  <sheetViews>
    <sheetView workbookViewId="0"/>
  </sheetViews>
  <sheetFormatPr baseColWidth="10" defaultColWidth="9" defaultRowHeight="13"/>
  <cols>
    <col min="1" max="1" width="2.1640625" style="1" customWidth="1"/>
    <col min="2" max="2" width="19.6640625" style="2" customWidth="1"/>
    <col min="3" max="3" width="9.1640625" style="1" customWidth="1"/>
    <col min="4" max="4" width="14.5" style="1" customWidth="1"/>
    <col min="5" max="5" width="8" style="1" customWidth="1"/>
    <col min="6" max="6" width="31.1640625" style="1" customWidth="1"/>
    <col min="7" max="7" width="31" style="1" customWidth="1"/>
    <col min="8" max="16384" width="9" style="1"/>
  </cols>
  <sheetData>
    <row r="2" spans="1:7" s="5" customFormat="1" ht="75.75" customHeight="1">
      <c r="A2" s="3"/>
      <c r="B2" s="4"/>
      <c r="C2" s="121" t="s">
        <v>0</v>
      </c>
      <c r="D2" s="121"/>
      <c r="E2" s="121"/>
      <c r="F2" s="121"/>
      <c r="G2" s="121"/>
    </row>
    <row r="3" spans="1:7">
      <c r="B3" s="6"/>
      <c r="C3" s="7"/>
      <c r="F3" s="8"/>
    </row>
    <row r="4" spans="1:7" ht="14.25" customHeight="1">
      <c r="B4" s="9" t="s">
        <v>1</v>
      </c>
      <c r="C4" s="122" t="s">
        <v>2</v>
      </c>
      <c r="D4" s="122"/>
      <c r="E4" s="122"/>
      <c r="F4" s="9" t="s">
        <v>3</v>
      </c>
      <c r="G4" s="10"/>
    </row>
    <row r="5" spans="1:7" ht="14.25" customHeight="1">
      <c r="B5" s="9" t="s">
        <v>4</v>
      </c>
      <c r="C5" s="122" t="s">
        <v>5</v>
      </c>
      <c r="D5" s="122"/>
      <c r="E5" s="122"/>
      <c r="F5" s="9" t="s">
        <v>6</v>
      </c>
      <c r="G5" s="10"/>
    </row>
    <row r="6" spans="1:7" ht="15.75" customHeight="1">
      <c r="B6" s="123" t="s">
        <v>7</v>
      </c>
      <c r="C6" s="124" t="str">
        <f>C5&amp;"_"&amp;"XXX"&amp;"_"&amp;"vx.x"</f>
        <v>&lt;Project Code&gt;_XXX_vx.x</v>
      </c>
      <c r="D6" s="124"/>
      <c r="E6" s="124"/>
      <c r="F6" s="9" t="s">
        <v>8</v>
      </c>
      <c r="G6" s="12"/>
    </row>
    <row r="7" spans="1:7" ht="13.5" customHeight="1">
      <c r="B7" s="123"/>
      <c r="C7" s="124"/>
      <c r="D7" s="124"/>
      <c r="E7" s="124"/>
      <c r="F7" s="9" t="s">
        <v>9</v>
      </c>
      <c r="G7" s="12"/>
    </row>
    <row r="8" spans="1:7">
      <c r="B8" s="13"/>
      <c r="C8" s="14"/>
      <c r="F8" s="6"/>
      <c r="G8" s="7"/>
    </row>
    <row r="10" spans="1:7">
      <c r="B10" s="15" t="s">
        <v>10</v>
      </c>
    </row>
    <row r="11" spans="1:7" s="16" customFormat="1">
      <c r="B11" s="17" t="s">
        <v>11</v>
      </c>
      <c r="C11" s="18" t="s">
        <v>9</v>
      </c>
      <c r="D11" s="18" t="s">
        <v>12</v>
      </c>
      <c r="E11" s="18" t="s">
        <v>13</v>
      </c>
      <c r="F11" s="18" t="s">
        <v>14</v>
      </c>
      <c r="G11" s="19" t="s">
        <v>15</v>
      </c>
    </row>
    <row r="12" spans="1:7" s="20" customFormat="1" ht="28">
      <c r="B12" s="21" t="s">
        <v>16</v>
      </c>
      <c r="C12" s="22"/>
      <c r="D12" s="23"/>
      <c r="E12" s="23"/>
      <c r="F12" s="24"/>
      <c r="G12" s="25" t="s">
        <v>53</v>
      </c>
    </row>
    <row r="13" spans="1:7" s="20" customFormat="1" ht="21.75" customHeight="1">
      <c r="B13" s="26"/>
      <c r="C13" s="22"/>
      <c r="D13" s="23"/>
      <c r="E13" s="23"/>
      <c r="F13" s="23"/>
      <c r="G13" s="27"/>
    </row>
    <row r="14" spans="1:7" s="20" customFormat="1" ht="19.5" customHeight="1">
      <c r="B14" s="26"/>
      <c r="C14" s="22"/>
      <c r="D14" s="23"/>
      <c r="E14" s="23"/>
      <c r="F14" s="23"/>
      <c r="G14" s="27"/>
    </row>
    <row r="15" spans="1:7" s="20" customFormat="1" ht="21.75" customHeight="1">
      <c r="B15" s="26"/>
      <c r="C15" s="22"/>
      <c r="D15" s="23"/>
      <c r="E15" s="23"/>
      <c r="F15" s="23"/>
      <c r="G15" s="27"/>
    </row>
    <row r="16" spans="1:7" s="20" customFormat="1" ht="19.5" customHeight="1">
      <c r="B16" s="26"/>
      <c r="C16" s="22"/>
      <c r="D16" s="23"/>
      <c r="E16" s="23"/>
      <c r="F16" s="23"/>
      <c r="G16" s="27"/>
    </row>
    <row r="17" spans="2:7" s="20" customFormat="1" ht="21.75" customHeight="1">
      <c r="B17" s="26"/>
      <c r="C17" s="22"/>
      <c r="D17" s="23"/>
      <c r="E17" s="23"/>
      <c r="F17" s="23"/>
      <c r="G17" s="27"/>
    </row>
    <row r="18" spans="2:7" s="20" customFormat="1" ht="19.5" customHeight="1">
      <c r="B18" s="28"/>
      <c r="C18" s="29"/>
      <c r="D18" s="30"/>
      <c r="E18" s="30"/>
      <c r="F18" s="30"/>
      <c r="G18" s="31"/>
    </row>
  </sheetData>
  <mergeCells count="5">
    <mergeCell ref="C2:G2"/>
    <mergeCell ref="C4:E4"/>
    <mergeCell ref="C5:E5"/>
    <mergeCell ref="B6:B7"/>
    <mergeCell ref="C6:E7"/>
  </mergeCells>
  <phoneticPr fontId="0" type="noConversion"/>
  <pageMargins left="0.47013888888888888" right="0.47013888888888888" top="0.5" bottom="0.35138888888888886" header="0.51180555555555562" footer="0.1701388888888889"/>
  <pageSetup paperSize="9" firstPageNumber="0" orientation="landscape" horizontalDpi="300" verticalDpi="300"/>
  <headerFooter alignWithMargins="0">
    <oddFooter>&amp;L&amp;"Tahoma,Regular"&amp;8 02ae-BM/PM/HDCV/FSOFT v2/0&amp;C&amp;"Tahoma,Regular"&amp;8Internal use&amp;R&amp;"tahomaTahoma,Regular"&amp;8&amp;P/&amp;N</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EC800-0BA0-DF42-BAF3-9D3D5760E564}">
  <dimension ref="B1:F21"/>
  <sheetViews>
    <sheetView zoomScale="178" workbookViewId="0">
      <selection activeCell="D11" sqref="D11"/>
    </sheetView>
  </sheetViews>
  <sheetFormatPr baseColWidth="10" defaultColWidth="9" defaultRowHeight="13"/>
  <cols>
    <col min="1" max="1" width="1.33203125" style="8" customWidth="1"/>
    <col min="2" max="2" width="11.83203125" style="32" customWidth="1"/>
    <col min="3" max="3" width="26.5" style="33" customWidth="1"/>
    <col min="4" max="4" width="17.1640625" style="33" customWidth="1"/>
    <col min="5" max="5" width="28.1640625" style="33" customWidth="1"/>
    <col min="6" max="6" width="30.6640625" style="33" customWidth="1"/>
    <col min="7" max="16384" width="9" style="8"/>
  </cols>
  <sheetData>
    <row r="1" spans="2:6" ht="25">
      <c r="B1" s="34"/>
      <c r="D1" s="35" t="s">
        <v>17</v>
      </c>
      <c r="E1" s="36"/>
    </row>
    <row r="2" spans="2:6" ht="13.5" customHeight="1">
      <c r="B2" s="34"/>
      <c r="D2" s="37"/>
      <c r="E2" s="37"/>
    </row>
    <row r="3" spans="2:6">
      <c r="B3" s="127" t="s">
        <v>1</v>
      </c>
      <c r="C3" s="127"/>
      <c r="D3" s="128" t="str">
        <f>Cover!C4</f>
        <v>&lt;Project Name&gt;</v>
      </c>
      <c r="E3" s="128"/>
      <c r="F3" s="128"/>
    </row>
    <row r="4" spans="2:6">
      <c r="B4" s="127" t="s">
        <v>4</v>
      </c>
      <c r="C4" s="127"/>
      <c r="D4" s="128" t="str">
        <f>Cover!C5</f>
        <v>&lt;Project Code&gt;</v>
      </c>
      <c r="E4" s="128"/>
      <c r="F4" s="128"/>
    </row>
    <row r="5" spans="2:6" s="38" customFormat="1" ht="84.75" customHeight="1">
      <c r="B5" s="125" t="s">
        <v>18</v>
      </c>
      <c r="C5" s="125"/>
      <c r="D5" s="126" t="s">
        <v>19</v>
      </c>
      <c r="E5" s="126"/>
      <c r="F5" s="126"/>
    </row>
    <row r="6" spans="2:6">
      <c r="B6" s="39"/>
      <c r="C6" s="8"/>
      <c r="D6" s="8"/>
      <c r="E6" s="8"/>
      <c r="F6" s="8"/>
    </row>
    <row r="7" spans="2:6" s="40" customFormat="1">
      <c r="B7" s="41"/>
      <c r="C7" s="42"/>
      <c r="D7" s="42"/>
      <c r="E7" s="42"/>
      <c r="F7" s="42"/>
    </row>
    <row r="8" spans="2:6" s="43" customFormat="1" ht="21" customHeight="1">
      <c r="B8" s="44" t="s">
        <v>20</v>
      </c>
      <c r="C8" s="45" t="s">
        <v>21</v>
      </c>
      <c r="D8" s="45" t="s">
        <v>22</v>
      </c>
      <c r="E8" s="46" t="s">
        <v>23</v>
      </c>
      <c r="F8" s="47" t="s">
        <v>24</v>
      </c>
    </row>
    <row r="9" spans="2:6">
      <c r="B9" s="48">
        <v>1</v>
      </c>
      <c r="C9" s="49" t="s">
        <v>68</v>
      </c>
      <c r="D9" s="50" t="s">
        <v>25</v>
      </c>
      <c r="E9" s="50"/>
      <c r="F9" s="51"/>
    </row>
    <row r="10" spans="2:6" ht="14">
      <c r="B10" s="48">
        <v>2</v>
      </c>
      <c r="C10" s="49" t="s">
        <v>69</v>
      </c>
      <c r="D10" s="100" t="s">
        <v>26</v>
      </c>
      <c r="E10" s="50"/>
      <c r="F10" s="51"/>
    </row>
    <row r="11" spans="2:6" ht="14">
      <c r="B11" s="48"/>
      <c r="C11" s="49"/>
      <c r="D11" s="101" t="s">
        <v>174</v>
      </c>
      <c r="E11" s="50"/>
      <c r="F11" s="51"/>
    </row>
    <row r="12" spans="2:6">
      <c r="B12" s="48"/>
      <c r="C12" s="49"/>
      <c r="D12" s="50"/>
      <c r="E12" s="50"/>
      <c r="F12" s="51"/>
    </row>
    <row r="13" spans="2:6">
      <c r="B13" s="48"/>
      <c r="C13" s="49"/>
      <c r="D13" s="50"/>
      <c r="E13" s="50"/>
      <c r="F13" s="51"/>
    </row>
    <row r="14" spans="2:6">
      <c r="B14" s="48"/>
      <c r="C14" s="49"/>
      <c r="D14" s="52"/>
      <c r="E14" s="52"/>
      <c r="F14" s="51"/>
    </row>
    <row r="15" spans="2:6">
      <c r="B15" s="48"/>
      <c r="C15" s="49"/>
      <c r="D15" s="52"/>
      <c r="E15" s="52"/>
      <c r="F15" s="51"/>
    </row>
    <row r="16" spans="2:6">
      <c r="B16" s="48"/>
      <c r="C16" s="49"/>
      <c r="D16" s="52"/>
      <c r="E16" s="52"/>
      <c r="F16" s="51"/>
    </row>
    <row r="17" spans="2:6">
      <c r="B17" s="48"/>
      <c r="C17" s="49"/>
      <c r="D17" s="52"/>
      <c r="E17" s="52"/>
      <c r="F17" s="51"/>
    </row>
    <row r="18" spans="2:6">
      <c r="B18" s="48"/>
      <c r="C18" s="49"/>
      <c r="D18" s="52"/>
      <c r="E18" s="52"/>
      <c r="F18" s="51"/>
    </row>
    <row r="19" spans="2:6">
      <c r="B19" s="48"/>
      <c r="C19" s="49"/>
      <c r="D19" s="52"/>
      <c r="E19" s="52"/>
      <c r="F19" s="51"/>
    </row>
    <row r="20" spans="2:6">
      <c r="B20" s="48"/>
      <c r="C20" s="49"/>
      <c r="D20" s="52"/>
      <c r="E20" s="52"/>
      <c r="F20" s="51"/>
    </row>
    <row r="21" spans="2:6">
      <c r="B21" s="53"/>
      <c r="C21" s="54"/>
      <c r="D21" s="55"/>
      <c r="E21" s="55"/>
      <c r="F21" s="56"/>
    </row>
  </sheetData>
  <mergeCells count="6">
    <mergeCell ref="B5:C5"/>
    <mergeCell ref="D5:F5"/>
    <mergeCell ref="B3:C3"/>
    <mergeCell ref="D3:F3"/>
    <mergeCell ref="B4:C4"/>
    <mergeCell ref="D4:F4"/>
  </mergeCells>
  <phoneticPr fontId="0" type="noConversion"/>
  <hyperlinks>
    <hyperlink ref="D9" location="Module1!B10" display="Module1" xr:uid="{FC77F630-5337-2145-ADDB-A7DD980E1A2D}"/>
    <hyperlink ref="D10" location="Module2!A1" display="Module2" xr:uid="{EFC3B2F0-9872-0B4D-9F85-37113E4168DE}"/>
  </hyperlinks>
  <pageMargins left="0.74791666666666667" right="0.74791666666666667" top="0.98402777777777783" bottom="1.1506944444444445" header="0.51180555555555562" footer="0.98402777777777783"/>
  <pageSetup paperSize="9" firstPageNumber="0" orientation="landscape" horizontalDpi="300" verticalDpi="300"/>
  <headerFooter alignWithMargins="0">
    <oddFooter>&amp;L&amp;"Tahoma,Regular"&amp;8 02ae-BM/PM/HDCV/FSOFT v2/0&amp;C&amp;"tahoma,Regular"&amp;8Internal use&amp;R&amp;"tahoma,Regular"&amp;8&amp;P/&amp;N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6ABC5-B443-FF41-BA73-04E67E6728A8}">
  <dimension ref="A1:K15"/>
  <sheetViews>
    <sheetView zoomScale="110" zoomScaleNormal="110" workbookViewId="0">
      <pane ySplit="8" topLeftCell="A11" activePane="bottomLeft" state="frozen"/>
      <selection pane="bottomLeft" activeCell="G15" sqref="G15"/>
    </sheetView>
  </sheetViews>
  <sheetFormatPr baseColWidth="10" defaultColWidth="9" defaultRowHeight="13"/>
  <cols>
    <col min="1" max="1" width="14.33203125" style="8" customWidth="1"/>
    <col min="2" max="2" width="30" style="8" customWidth="1"/>
    <col min="3" max="3" width="26.83203125" style="8" customWidth="1"/>
    <col min="4" max="4" width="28.5" style="8" customWidth="1"/>
    <col min="5" max="5" width="23" style="8" customWidth="1"/>
    <col min="6" max="6" width="12.6640625" style="8" customWidth="1"/>
    <col min="7" max="7" width="14.83203125" style="8" customWidth="1"/>
    <col min="8" max="8" width="19.33203125" style="8" customWidth="1"/>
    <col min="9" max="9" width="0" style="8" hidden="1" customWidth="1"/>
    <col min="10" max="10" width="20.5" style="8" customWidth="1"/>
    <col min="11" max="11" width="19.5" style="8" customWidth="1"/>
    <col min="12" max="16384" width="9" style="8"/>
  </cols>
  <sheetData>
    <row r="1" spans="1:11" s="61" customFormat="1">
      <c r="A1" s="57"/>
      <c r="B1" s="58"/>
      <c r="C1" s="58"/>
      <c r="D1" s="58"/>
      <c r="E1" s="58"/>
      <c r="F1" s="59"/>
      <c r="G1" s="60"/>
      <c r="H1" s="38"/>
    </row>
    <row r="2" spans="1:11" s="61" customFormat="1" ht="15" customHeight="1">
      <c r="A2" s="62" t="s">
        <v>27</v>
      </c>
      <c r="B2" s="130" t="s">
        <v>28</v>
      </c>
      <c r="C2" s="130"/>
      <c r="D2" s="130"/>
      <c r="E2" s="130"/>
      <c r="F2" s="130"/>
      <c r="G2" s="38"/>
      <c r="H2" s="38"/>
      <c r="I2" s="61" t="s">
        <v>29</v>
      </c>
    </row>
    <row r="3" spans="1:11" s="61" customFormat="1" ht="25.5" customHeight="1">
      <c r="A3" s="63" t="s">
        <v>30</v>
      </c>
      <c r="B3" s="130" t="s">
        <v>31</v>
      </c>
      <c r="C3" s="130"/>
      <c r="D3" s="130"/>
      <c r="E3" s="130"/>
      <c r="F3" s="130"/>
      <c r="G3" s="38"/>
      <c r="H3" s="38"/>
      <c r="I3" s="61" t="s">
        <v>32</v>
      </c>
    </row>
    <row r="4" spans="1:11" s="61" customFormat="1" ht="18" customHeight="1">
      <c r="A4" s="62" t="s">
        <v>33</v>
      </c>
      <c r="B4" s="131"/>
      <c r="C4" s="131"/>
      <c r="D4" s="131"/>
      <c r="E4" s="131"/>
      <c r="F4" s="131"/>
      <c r="G4" s="38"/>
      <c r="H4" s="38"/>
      <c r="I4" s="64"/>
    </row>
    <row r="5" spans="1:11" s="61" customFormat="1" ht="19.5" customHeight="1">
      <c r="A5" s="65" t="s">
        <v>29</v>
      </c>
      <c r="B5" s="66" t="s">
        <v>32</v>
      </c>
      <c r="C5" s="66" t="s">
        <v>34</v>
      </c>
      <c r="D5" s="67" t="s">
        <v>35</v>
      </c>
      <c r="E5" s="132" t="s">
        <v>36</v>
      </c>
      <c r="F5" s="132"/>
      <c r="G5" s="68"/>
      <c r="H5" s="68"/>
      <c r="I5" s="61" t="s">
        <v>37</v>
      </c>
    </row>
    <row r="6" spans="1:11" s="61" customFormat="1" ht="15" customHeight="1">
      <c r="A6" s="69">
        <f>COUNTIF(G9:G992,"Pass")</f>
        <v>7</v>
      </c>
      <c r="B6" s="70">
        <f>COUNTIF(G9:G992,"Fail")</f>
        <v>0</v>
      </c>
      <c r="C6" s="70">
        <f>E6-D6-B6-A6</f>
        <v>0</v>
      </c>
      <c r="D6" s="71">
        <f>COUNTIF(G$9:G$992,"N/A")</f>
        <v>0</v>
      </c>
      <c r="E6" s="129">
        <v>7</v>
      </c>
      <c r="F6" s="129"/>
      <c r="G6" s="68"/>
      <c r="H6" s="68"/>
      <c r="I6" s="61" t="s">
        <v>35</v>
      </c>
    </row>
    <row r="7" spans="1:11" s="61" customFormat="1" ht="15" customHeight="1">
      <c r="D7" s="72"/>
      <c r="E7" s="72"/>
      <c r="F7" s="68"/>
      <c r="G7" s="68"/>
      <c r="H7" s="68"/>
    </row>
    <row r="8" spans="1:11" s="61" customFormat="1" ht="25.5" customHeight="1">
      <c r="A8" s="105" t="s">
        <v>38</v>
      </c>
      <c r="B8" s="105" t="s">
        <v>39</v>
      </c>
      <c r="C8" s="105" t="s">
        <v>117</v>
      </c>
      <c r="D8" s="105" t="s">
        <v>40</v>
      </c>
      <c r="E8" s="105" t="s">
        <v>41</v>
      </c>
      <c r="F8" s="105" t="s">
        <v>56</v>
      </c>
      <c r="G8" s="109" t="s">
        <v>42</v>
      </c>
      <c r="H8" s="105" t="s">
        <v>56</v>
      </c>
      <c r="I8" s="105" t="s">
        <v>56</v>
      </c>
      <c r="J8" s="112" t="s">
        <v>132</v>
      </c>
      <c r="K8" s="105" t="s">
        <v>23</v>
      </c>
    </row>
    <row r="9" spans="1:11" ht="114" customHeight="1">
      <c r="A9" s="102" t="s">
        <v>93</v>
      </c>
      <c r="B9" s="104" t="s">
        <v>70</v>
      </c>
      <c r="C9" s="103" t="s">
        <v>71</v>
      </c>
      <c r="D9" s="103" t="s">
        <v>140</v>
      </c>
      <c r="E9" s="103" t="s">
        <v>72</v>
      </c>
      <c r="F9" s="102" t="s">
        <v>125</v>
      </c>
      <c r="G9" s="102" t="s">
        <v>29</v>
      </c>
      <c r="H9" s="102" t="s">
        <v>131</v>
      </c>
      <c r="I9" s="103" t="s">
        <v>73</v>
      </c>
      <c r="J9" s="113" t="s">
        <v>73</v>
      </c>
      <c r="K9" s="113"/>
    </row>
    <row r="10" spans="1:11" ht="114" customHeight="1">
      <c r="A10" s="102" t="s">
        <v>94</v>
      </c>
      <c r="B10" s="104" t="s">
        <v>74</v>
      </c>
      <c r="C10" s="103" t="s">
        <v>75</v>
      </c>
      <c r="D10" s="103" t="s">
        <v>140</v>
      </c>
      <c r="E10" s="103" t="s">
        <v>72</v>
      </c>
      <c r="F10" s="102" t="s">
        <v>126</v>
      </c>
      <c r="G10" s="102" t="s">
        <v>29</v>
      </c>
      <c r="H10" s="102" t="s">
        <v>131</v>
      </c>
      <c r="I10" s="103" t="s">
        <v>76</v>
      </c>
      <c r="J10" s="113" t="s">
        <v>76</v>
      </c>
      <c r="K10" s="113"/>
    </row>
    <row r="11" spans="1:11" ht="114" customHeight="1">
      <c r="A11" s="102" t="s">
        <v>95</v>
      </c>
      <c r="B11" s="104" t="s">
        <v>77</v>
      </c>
      <c r="C11" s="103" t="s">
        <v>78</v>
      </c>
      <c r="D11" s="103" t="s">
        <v>140</v>
      </c>
      <c r="E11" s="103" t="s">
        <v>72</v>
      </c>
      <c r="F11" s="102" t="s">
        <v>127</v>
      </c>
      <c r="G11" s="102" t="s">
        <v>29</v>
      </c>
      <c r="H11" s="102" t="s">
        <v>131</v>
      </c>
      <c r="I11" s="103" t="s">
        <v>79</v>
      </c>
      <c r="J11" s="113" t="s">
        <v>79</v>
      </c>
      <c r="K11" s="113"/>
    </row>
    <row r="12" spans="1:11" ht="78" customHeight="1">
      <c r="A12" s="102" t="s">
        <v>96</v>
      </c>
      <c r="B12" s="104" t="s">
        <v>80</v>
      </c>
      <c r="C12" s="103" t="s">
        <v>81</v>
      </c>
      <c r="D12" s="103" t="s">
        <v>142</v>
      </c>
      <c r="E12" s="103" t="s">
        <v>82</v>
      </c>
      <c r="F12" s="102" t="s">
        <v>128</v>
      </c>
      <c r="G12" s="102" t="s">
        <v>29</v>
      </c>
      <c r="H12" s="102" t="s">
        <v>131</v>
      </c>
      <c r="I12" s="103" t="s">
        <v>83</v>
      </c>
      <c r="J12" s="113" t="s">
        <v>83</v>
      </c>
      <c r="K12" s="113"/>
    </row>
    <row r="13" spans="1:11" ht="89" customHeight="1">
      <c r="A13" s="102" t="s">
        <v>97</v>
      </c>
      <c r="B13" s="104" t="s">
        <v>84</v>
      </c>
      <c r="C13" s="103" t="s">
        <v>85</v>
      </c>
      <c r="D13" s="103" t="s">
        <v>143</v>
      </c>
      <c r="E13" s="103" t="s">
        <v>86</v>
      </c>
      <c r="F13" s="102" t="s">
        <v>129</v>
      </c>
      <c r="G13" s="102" t="s">
        <v>29</v>
      </c>
      <c r="H13" s="102" t="s">
        <v>131</v>
      </c>
      <c r="I13" s="103" t="s">
        <v>83</v>
      </c>
      <c r="J13" s="113" t="s">
        <v>83</v>
      </c>
      <c r="K13" s="113"/>
    </row>
    <row r="14" spans="1:11" ht="103" customHeight="1">
      <c r="A14" s="102" t="s">
        <v>98</v>
      </c>
      <c r="B14" s="104" t="s">
        <v>87</v>
      </c>
      <c r="C14" s="103" t="s">
        <v>88</v>
      </c>
      <c r="D14" s="103" t="s">
        <v>144</v>
      </c>
      <c r="E14" s="103" t="s">
        <v>89</v>
      </c>
      <c r="F14" s="102" t="s">
        <v>130</v>
      </c>
      <c r="G14" s="102" t="s">
        <v>29</v>
      </c>
      <c r="H14" s="102" t="s">
        <v>131</v>
      </c>
      <c r="I14" s="103" t="s">
        <v>83</v>
      </c>
      <c r="J14" s="113" t="s">
        <v>83</v>
      </c>
      <c r="K14" s="113"/>
    </row>
    <row r="15" spans="1:11" ht="124" customHeight="1">
      <c r="A15" s="102" t="s">
        <v>99</v>
      </c>
      <c r="B15" s="104" t="s">
        <v>90</v>
      </c>
      <c r="C15" s="103" t="s">
        <v>91</v>
      </c>
      <c r="D15" s="103" t="s">
        <v>141</v>
      </c>
      <c r="E15" s="103" t="s">
        <v>92</v>
      </c>
      <c r="F15" s="102" t="s">
        <v>133</v>
      </c>
      <c r="G15" s="102" t="s">
        <v>29</v>
      </c>
      <c r="H15" s="102" t="s">
        <v>131</v>
      </c>
      <c r="I15" s="103" t="s">
        <v>83</v>
      </c>
      <c r="J15" s="113" t="s">
        <v>83</v>
      </c>
      <c r="K15" s="113"/>
    </row>
  </sheetData>
  <mergeCells count="5">
    <mergeCell ref="E6:F6"/>
    <mergeCell ref="B2:F2"/>
    <mergeCell ref="B3:F3"/>
    <mergeCell ref="B4:F4"/>
    <mergeCell ref="E5:F5"/>
  </mergeCells>
  <phoneticPr fontId="0" type="noConversion"/>
  <dataValidations count="1">
    <dataValidation type="list" allowBlank="1" showErrorMessage="1" sqref="F1:F3 F7 F16:F139 G8" xr:uid="{0926D9D0-1AE7-204E-AFDC-71D73AD07237}">
      <formula1>$I$2:$I$6</formula1>
      <formula2>0</formula2>
    </dataValidation>
  </dataValidations>
  <pageMargins left="0.74791666666666667" right="0.25" top="0.75" bottom="0.98402777777777772" header="0.5" footer="0.5"/>
  <pageSetup paperSize="9" firstPageNumber="0" orientation="landscape" horizontalDpi="300" verticalDpi="300"/>
  <headerFooter alignWithMargins="0">
    <oddHeader>&amp;LFacilitate_Test Case\Company&amp;Rv1.0</oddHeader>
    <oddFooter>&amp;L&amp;"Tahoma,Regular"&amp;8 02ae-BM/PM/HDCV/FSOFT v2/0&amp;C&amp;"Tahoma,Regular"&amp;10Internal use&amp;R&amp;"Tahoma,Regular"&amp;8&amp;P/&amp;N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163C4-5C5E-D449-BB67-F443A6D227A8}">
  <dimension ref="A1:K14"/>
  <sheetViews>
    <sheetView zoomScale="150" zoomScaleNormal="150" workbookViewId="0">
      <pane ySplit="8" topLeftCell="A12" activePane="bottomLeft" state="frozen"/>
      <selection pane="bottomLeft" activeCell="E13" sqref="E13"/>
    </sheetView>
  </sheetViews>
  <sheetFormatPr baseColWidth="10" defaultColWidth="9" defaultRowHeight="13"/>
  <cols>
    <col min="1" max="1" width="14.33203125" style="8" customWidth="1"/>
    <col min="2" max="2" width="40.6640625" style="8" customWidth="1"/>
    <col min="3" max="3" width="19.1640625" style="8" customWidth="1"/>
    <col min="4" max="5" width="36" style="8" customWidth="1"/>
    <col min="6" max="6" width="12.6640625" style="8" customWidth="1"/>
    <col min="7" max="7" width="14.83203125" style="8" customWidth="1"/>
    <col min="8" max="8" width="17.33203125" style="8" customWidth="1"/>
    <col min="9" max="9" width="0" style="8" hidden="1" customWidth="1"/>
    <col min="10" max="10" width="22" style="8" customWidth="1"/>
    <col min="11" max="11" width="15.1640625" style="8" customWidth="1"/>
    <col min="12" max="16384" width="9" style="8"/>
  </cols>
  <sheetData>
    <row r="1" spans="1:11" s="61" customFormat="1" ht="14" thickBot="1">
      <c r="A1" s="57"/>
      <c r="B1" s="58"/>
      <c r="C1" s="58"/>
      <c r="D1" s="58"/>
      <c r="E1" s="58"/>
      <c r="F1" s="59"/>
      <c r="G1" s="60"/>
      <c r="H1" s="38"/>
      <c r="J1" s="38"/>
    </row>
    <row r="2" spans="1:11" s="61" customFormat="1" ht="15" customHeight="1">
      <c r="A2" s="62" t="s">
        <v>27</v>
      </c>
      <c r="B2" s="130" t="s">
        <v>28</v>
      </c>
      <c r="C2" s="130"/>
      <c r="D2" s="130"/>
      <c r="E2" s="130"/>
      <c r="F2" s="130"/>
      <c r="G2" s="38"/>
      <c r="H2" s="38"/>
      <c r="I2" s="61" t="s">
        <v>29</v>
      </c>
      <c r="J2" s="38"/>
    </row>
    <row r="3" spans="1:11" s="61" customFormat="1" ht="25.5" customHeight="1">
      <c r="A3" s="63" t="s">
        <v>30</v>
      </c>
      <c r="B3" s="130" t="s">
        <v>31</v>
      </c>
      <c r="C3" s="130"/>
      <c r="D3" s="130"/>
      <c r="E3" s="130"/>
      <c r="F3" s="130"/>
      <c r="G3" s="38"/>
      <c r="H3" s="38"/>
      <c r="I3" s="61" t="s">
        <v>32</v>
      </c>
      <c r="J3" s="38"/>
    </row>
    <row r="4" spans="1:11" s="61" customFormat="1" ht="18" customHeight="1">
      <c r="A4" s="62" t="s">
        <v>33</v>
      </c>
      <c r="B4" s="131"/>
      <c r="C4" s="131"/>
      <c r="D4" s="131"/>
      <c r="E4" s="131"/>
      <c r="F4" s="131"/>
      <c r="G4" s="38"/>
      <c r="H4" s="38"/>
      <c r="I4" s="64"/>
      <c r="J4" s="38"/>
    </row>
    <row r="5" spans="1:11" s="61" customFormat="1" ht="19.5" customHeight="1">
      <c r="A5" s="65" t="s">
        <v>29</v>
      </c>
      <c r="B5" s="66" t="s">
        <v>32</v>
      </c>
      <c r="C5" s="66" t="s">
        <v>34</v>
      </c>
      <c r="D5" s="67" t="s">
        <v>35</v>
      </c>
      <c r="E5" s="132" t="s">
        <v>36</v>
      </c>
      <c r="F5" s="132"/>
      <c r="G5" s="68"/>
      <c r="H5" s="68"/>
      <c r="I5" s="61" t="s">
        <v>37</v>
      </c>
      <c r="J5" s="68"/>
    </row>
    <row r="6" spans="1:11" s="61" customFormat="1" ht="15" customHeight="1" thickBot="1">
      <c r="A6" s="69">
        <f>COUNTIF(G9:G991,"Pass")</f>
        <v>6</v>
      </c>
      <c r="B6" s="70">
        <f>COUNTIF(G9:G991,"Fail")</f>
        <v>0</v>
      </c>
      <c r="C6" s="70">
        <f>E6-D6-B6-A6</f>
        <v>0</v>
      </c>
      <c r="D6" s="71">
        <f>COUNTIF(G$9:G$991,"N/A")</f>
        <v>0</v>
      </c>
      <c r="E6" s="129">
        <f>ROWS(A9:A14)</f>
        <v>6</v>
      </c>
      <c r="F6" s="129"/>
      <c r="G6" s="68"/>
      <c r="H6" s="68"/>
      <c r="I6" s="61" t="s">
        <v>35</v>
      </c>
      <c r="J6" s="68"/>
    </row>
    <row r="7" spans="1:11" s="61" customFormat="1" ht="15" customHeight="1">
      <c r="D7" s="72"/>
      <c r="E7" s="72"/>
      <c r="F7" s="68"/>
      <c r="G7" s="68"/>
      <c r="H7" s="68"/>
      <c r="J7" s="68"/>
    </row>
    <row r="8" spans="1:11" s="61" customFormat="1" ht="25.5" customHeight="1">
      <c r="A8" s="105" t="s">
        <v>38</v>
      </c>
      <c r="B8" s="105" t="s">
        <v>39</v>
      </c>
      <c r="C8" s="105" t="s">
        <v>116</v>
      </c>
      <c r="D8" s="105" t="s">
        <v>40</v>
      </c>
      <c r="E8" s="105" t="s">
        <v>41</v>
      </c>
      <c r="F8" s="105" t="s">
        <v>56</v>
      </c>
      <c r="G8" s="109" t="s">
        <v>42</v>
      </c>
      <c r="H8" s="105" t="s">
        <v>54</v>
      </c>
      <c r="I8" s="105" t="s">
        <v>55</v>
      </c>
      <c r="J8" s="105" t="s">
        <v>118</v>
      </c>
      <c r="K8" s="105" t="s">
        <v>23</v>
      </c>
    </row>
    <row r="9" spans="1:11" ht="63" customHeight="1">
      <c r="A9" s="106" t="s">
        <v>110</v>
      </c>
      <c r="B9" s="111" t="s">
        <v>120</v>
      </c>
      <c r="C9" s="111" t="s">
        <v>100</v>
      </c>
      <c r="D9" s="104" t="s">
        <v>121</v>
      </c>
      <c r="E9" s="111" t="s">
        <v>72</v>
      </c>
      <c r="F9" s="106" t="s">
        <v>134</v>
      </c>
      <c r="G9" s="106" t="s">
        <v>29</v>
      </c>
      <c r="H9" s="108" t="s">
        <v>131</v>
      </c>
      <c r="I9" s="110"/>
      <c r="J9" s="107" t="s">
        <v>101</v>
      </c>
      <c r="K9" s="107"/>
    </row>
    <row r="10" spans="1:11" ht="52" customHeight="1">
      <c r="A10" s="106" t="s">
        <v>111</v>
      </c>
      <c r="B10" s="111" t="s">
        <v>102</v>
      </c>
      <c r="C10" s="111" t="s">
        <v>103</v>
      </c>
      <c r="D10" s="104" t="s">
        <v>121</v>
      </c>
      <c r="E10" s="111" t="s">
        <v>72</v>
      </c>
      <c r="F10" s="106" t="s">
        <v>135</v>
      </c>
      <c r="G10" s="106" t="s">
        <v>29</v>
      </c>
      <c r="H10" s="108" t="s">
        <v>131</v>
      </c>
      <c r="I10" s="110"/>
      <c r="J10" s="107" t="s">
        <v>104</v>
      </c>
      <c r="K10" s="107"/>
    </row>
    <row r="11" spans="1:11" ht="80" customHeight="1">
      <c r="A11" s="106" t="s">
        <v>112</v>
      </c>
      <c r="B11" s="111" t="s">
        <v>105</v>
      </c>
      <c r="C11" s="111" t="s">
        <v>81</v>
      </c>
      <c r="D11" s="104" t="s">
        <v>119</v>
      </c>
      <c r="E11" s="111" t="s">
        <v>82</v>
      </c>
      <c r="F11" s="106" t="s">
        <v>136</v>
      </c>
      <c r="G11" s="106" t="s">
        <v>29</v>
      </c>
      <c r="H11" s="108" t="s">
        <v>131</v>
      </c>
      <c r="I11" s="110"/>
      <c r="J11" s="107" t="s">
        <v>106</v>
      </c>
      <c r="K11" s="107"/>
    </row>
    <row r="12" spans="1:11" ht="76" customHeight="1">
      <c r="A12" s="106" t="s">
        <v>113</v>
      </c>
      <c r="B12" s="111" t="s">
        <v>107</v>
      </c>
      <c r="C12" s="111" t="s">
        <v>85</v>
      </c>
      <c r="D12" s="104" t="s">
        <v>122</v>
      </c>
      <c r="E12" s="111" t="s">
        <v>86</v>
      </c>
      <c r="F12" s="106" t="s">
        <v>137</v>
      </c>
      <c r="G12" s="106" t="s">
        <v>29</v>
      </c>
      <c r="H12" s="108" t="s">
        <v>131</v>
      </c>
      <c r="I12" s="110"/>
      <c r="J12" s="107" t="s">
        <v>106</v>
      </c>
      <c r="K12" s="107"/>
    </row>
    <row r="13" spans="1:11" ht="94" customHeight="1">
      <c r="A13" s="106" t="s">
        <v>114</v>
      </c>
      <c r="B13" s="111" t="s">
        <v>108</v>
      </c>
      <c r="C13" s="111" t="s">
        <v>88</v>
      </c>
      <c r="D13" s="104" t="s">
        <v>123</v>
      </c>
      <c r="E13" s="111" t="s">
        <v>89</v>
      </c>
      <c r="F13" s="106" t="s">
        <v>138</v>
      </c>
      <c r="G13" s="106" t="s">
        <v>29</v>
      </c>
      <c r="H13" s="108" t="s">
        <v>131</v>
      </c>
      <c r="I13" s="110"/>
      <c r="J13" s="107" t="s">
        <v>106</v>
      </c>
      <c r="K13" s="107"/>
    </row>
    <row r="14" spans="1:11" ht="43" customHeight="1">
      <c r="A14" s="106" t="s">
        <v>115</v>
      </c>
      <c r="B14" s="111" t="s">
        <v>109</v>
      </c>
      <c r="C14" s="111" t="s">
        <v>91</v>
      </c>
      <c r="D14" s="104" t="s">
        <v>124</v>
      </c>
      <c r="E14" s="111" t="s">
        <v>92</v>
      </c>
      <c r="F14" s="106" t="s">
        <v>139</v>
      </c>
      <c r="G14" s="106" t="s">
        <v>29</v>
      </c>
      <c r="H14" s="108" t="s">
        <v>131</v>
      </c>
      <c r="I14" s="110"/>
      <c r="J14" s="107" t="s">
        <v>106</v>
      </c>
      <c r="K14" s="107"/>
    </row>
  </sheetData>
  <mergeCells count="5">
    <mergeCell ref="B2:F2"/>
    <mergeCell ref="B3:F3"/>
    <mergeCell ref="B4:F4"/>
    <mergeCell ref="E5:F5"/>
    <mergeCell ref="E6:F6"/>
  </mergeCells>
  <phoneticPr fontId="20" type="noConversion"/>
  <dataValidations count="1">
    <dataValidation type="list" allowBlank="1" showErrorMessage="1" sqref="F1:F3 F7 G8 F15:F137" xr:uid="{7406C162-9956-9F49-A04A-E6797D53F35A}">
      <formula1>$I$2:$I$6</formula1>
      <formula2>0</formula2>
    </dataValidation>
  </dataValidations>
  <pageMargins left="0.74791666666666667" right="0.25" top="0.75" bottom="0.98402777777777772" header="0.5" footer="0.5"/>
  <pageSetup paperSize="9" firstPageNumber="0" orientation="landscape" horizontalDpi="300" verticalDpi="300"/>
  <headerFooter alignWithMargins="0">
    <oddHeader>&amp;LFacilitate_Test Case\Company&amp;Rv1.0</oddHeader>
    <oddFooter>&amp;L&amp;"Tahoma,Regular"&amp;8 02ae-BM/PM/HDCV/FSOFT v2/0&amp;C&amp;"Tahoma,Regular"&amp;10Internal use&amp;R&amp;"Tahoma,Regular"&amp;8&amp;P/&amp;N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9DE56-4F34-3847-9DE3-3FE1ACFF2F2A}">
  <dimension ref="A1:E14"/>
  <sheetViews>
    <sheetView showGridLines="0" workbookViewId="0">
      <selection activeCell="D11" sqref="D11"/>
    </sheetView>
  </sheetViews>
  <sheetFormatPr baseColWidth="10" defaultRowHeight="14"/>
  <cols>
    <col min="1" max="1" width="22.6640625" customWidth="1"/>
    <col min="2" max="2" width="22.83203125" customWidth="1"/>
    <col min="3" max="3" width="43.83203125" customWidth="1"/>
    <col min="4" max="4" width="70.1640625" customWidth="1"/>
    <col min="5" max="5" width="28.6640625" customWidth="1"/>
    <col min="6" max="6" width="33.5" customWidth="1"/>
    <col min="7" max="7" width="28.5" customWidth="1"/>
    <col min="8" max="8" width="33.83203125" customWidth="1"/>
  </cols>
  <sheetData>
    <row r="1" spans="1:5" ht="18">
      <c r="A1" s="117" t="s">
        <v>170</v>
      </c>
      <c r="B1" s="114" t="s">
        <v>145</v>
      </c>
      <c r="C1" s="114" t="s">
        <v>23</v>
      </c>
      <c r="D1" s="114" t="s">
        <v>146</v>
      </c>
      <c r="E1" s="114" t="s">
        <v>147</v>
      </c>
    </row>
    <row r="2" spans="1:5" ht="18">
      <c r="A2" s="133" t="s">
        <v>171</v>
      </c>
      <c r="B2" s="115" t="s">
        <v>57</v>
      </c>
      <c r="C2" s="115" t="s">
        <v>148</v>
      </c>
      <c r="D2" s="115" t="s">
        <v>169</v>
      </c>
      <c r="E2" s="115" t="s">
        <v>93</v>
      </c>
    </row>
    <row r="3" spans="1:5" ht="18">
      <c r="A3" s="133"/>
      <c r="B3" s="115" t="s">
        <v>58</v>
      </c>
      <c r="C3" s="115" t="s">
        <v>148</v>
      </c>
      <c r="D3" s="115" t="s">
        <v>169</v>
      </c>
      <c r="E3" s="115" t="s">
        <v>94</v>
      </c>
    </row>
    <row r="4" spans="1:5" ht="18">
      <c r="A4" s="133"/>
      <c r="B4" s="115" t="s">
        <v>59</v>
      </c>
      <c r="C4" s="115" t="s">
        <v>148</v>
      </c>
      <c r="D4" s="115" t="s">
        <v>169</v>
      </c>
      <c r="E4" s="115" t="s">
        <v>95</v>
      </c>
    </row>
    <row r="5" spans="1:5" ht="19">
      <c r="A5" s="133"/>
      <c r="B5" s="115" t="s">
        <v>60</v>
      </c>
      <c r="C5" s="115" t="s">
        <v>149</v>
      </c>
      <c r="D5" s="116" t="s">
        <v>173</v>
      </c>
      <c r="E5" s="115" t="s">
        <v>96</v>
      </c>
    </row>
    <row r="6" spans="1:5" ht="18">
      <c r="A6" s="133"/>
      <c r="B6" s="115" t="s">
        <v>61</v>
      </c>
      <c r="C6" s="115" t="s">
        <v>150</v>
      </c>
      <c r="D6" s="115" t="s">
        <v>162</v>
      </c>
      <c r="E6" s="115" t="s">
        <v>97</v>
      </c>
    </row>
    <row r="7" spans="1:5" ht="18">
      <c r="A7" s="133"/>
      <c r="B7" s="115" t="s">
        <v>62</v>
      </c>
      <c r="C7" s="115" t="s">
        <v>151</v>
      </c>
      <c r="D7" s="115" t="s">
        <v>168</v>
      </c>
      <c r="E7" s="115" t="s">
        <v>98</v>
      </c>
    </row>
    <row r="8" spans="1:5" ht="18">
      <c r="A8" s="133"/>
      <c r="B8" s="115" t="s">
        <v>63</v>
      </c>
      <c r="C8" s="115" t="s">
        <v>152</v>
      </c>
      <c r="D8" s="115" t="s">
        <v>167</v>
      </c>
      <c r="E8" s="115" t="s">
        <v>99</v>
      </c>
    </row>
    <row r="9" spans="1:5" ht="18">
      <c r="A9" s="133" t="s">
        <v>172</v>
      </c>
      <c r="B9" s="115" t="s">
        <v>64</v>
      </c>
      <c r="C9" s="115" t="s">
        <v>153</v>
      </c>
      <c r="D9" s="115" t="s">
        <v>163</v>
      </c>
      <c r="E9" s="115" t="s">
        <v>110</v>
      </c>
    </row>
    <row r="10" spans="1:5" ht="18">
      <c r="A10" s="133"/>
      <c r="B10" s="115" t="s">
        <v>65</v>
      </c>
      <c r="C10" s="115" t="s">
        <v>154</v>
      </c>
      <c r="D10" s="115" t="s">
        <v>164</v>
      </c>
      <c r="E10" s="115" t="s">
        <v>111</v>
      </c>
    </row>
    <row r="11" spans="1:5" ht="19">
      <c r="A11" s="133"/>
      <c r="B11" s="115" t="s">
        <v>66</v>
      </c>
      <c r="C11" s="115" t="s">
        <v>155</v>
      </c>
      <c r="D11" s="116" t="s">
        <v>173</v>
      </c>
      <c r="E11" s="115" t="s">
        <v>112</v>
      </c>
    </row>
    <row r="12" spans="1:5" ht="18">
      <c r="A12" s="133"/>
      <c r="B12" s="115" t="s">
        <v>67</v>
      </c>
      <c r="C12" s="115" t="s">
        <v>156</v>
      </c>
      <c r="D12" s="115" t="s">
        <v>165</v>
      </c>
      <c r="E12" s="115" t="s">
        <v>113</v>
      </c>
    </row>
    <row r="13" spans="1:5" ht="18">
      <c r="A13" s="133"/>
      <c r="B13" s="115" t="s">
        <v>157</v>
      </c>
      <c r="C13" s="115" t="s">
        <v>158</v>
      </c>
      <c r="D13" s="115" t="s">
        <v>166</v>
      </c>
      <c r="E13" s="115" t="s">
        <v>114</v>
      </c>
    </row>
    <row r="14" spans="1:5" ht="18">
      <c r="A14" s="133"/>
      <c r="B14" s="115" t="s">
        <v>159</v>
      </c>
      <c r="C14" s="115" t="s">
        <v>160</v>
      </c>
      <c r="D14" s="115" t="s">
        <v>161</v>
      </c>
      <c r="E14" s="115" t="s">
        <v>115</v>
      </c>
    </row>
  </sheetData>
  <mergeCells count="2">
    <mergeCell ref="A2:A8"/>
    <mergeCell ref="A9:A14"/>
  </mergeCells>
  <phoneticPr fontId="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36199-8AF6-B940-8B43-002AEC695EDA}">
  <dimension ref="A1:H17"/>
  <sheetViews>
    <sheetView tabSelected="1" workbookViewId="0">
      <selection activeCell="I28" sqref="I27:I28"/>
    </sheetView>
  </sheetViews>
  <sheetFormatPr baseColWidth="10" defaultColWidth="9" defaultRowHeight="13"/>
  <cols>
    <col min="1" max="1" width="9" style="8"/>
    <col min="2" max="2" width="13.5" style="8" customWidth="1"/>
    <col min="3" max="3" width="19.33203125" style="8" customWidth="1"/>
    <col min="4" max="7" width="9" style="8"/>
    <col min="8" max="9" width="33.1640625" style="8" customWidth="1"/>
    <col min="10" max="16384" width="9" style="8"/>
  </cols>
  <sheetData>
    <row r="1" spans="1:8" ht="25.5" customHeight="1">
      <c r="B1" s="136" t="s">
        <v>43</v>
      </c>
      <c r="C1" s="136"/>
      <c r="D1" s="136"/>
      <c r="E1" s="136"/>
      <c r="F1" s="136"/>
      <c r="G1" s="136"/>
      <c r="H1" s="136"/>
    </row>
    <row r="2" spans="1:8" ht="14.25" customHeight="1">
      <c r="A2" s="73"/>
      <c r="B2" s="73"/>
      <c r="C2" s="74"/>
      <c r="D2" s="74"/>
      <c r="E2" s="74"/>
      <c r="F2" s="74"/>
      <c r="G2" s="74"/>
      <c r="H2" s="75"/>
    </row>
    <row r="3" spans="1:8" ht="12" customHeight="1">
      <c r="B3" s="11" t="s">
        <v>1</v>
      </c>
      <c r="C3" s="128" t="s">
        <v>2</v>
      </c>
      <c r="D3" s="128"/>
      <c r="E3" s="134" t="s">
        <v>3</v>
      </c>
      <c r="F3" s="134"/>
      <c r="G3" s="76"/>
      <c r="H3" s="77"/>
    </row>
    <row r="4" spans="1:8" ht="12" customHeight="1">
      <c r="B4" s="11" t="s">
        <v>4</v>
      </c>
      <c r="C4" s="128" t="s">
        <v>5</v>
      </c>
      <c r="D4" s="128"/>
      <c r="E4" s="134" t="s">
        <v>6</v>
      </c>
      <c r="F4" s="134"/>
      <c r="G4" s="76"/>
      <c r="H4" s="77"/>
    </row>
    <row r="5" spans="1:8" ht="12" customHeight="1">
      <c r="B5" s="78" t="s">
        <v>7</v>
      </c>
      <c r="C5" s="128" t="str">
        <f>C4&amp;"_"&amp;"Test Report"&amp;"_"&amp;"vx.x"</f>
        <v>&lt;Project Code&gt;_Test Report_vx.x</v>
      </c>
      <c r="D5" s="128"/>
      <c r="E5" s="134" t="s">
        <v>8</v>
      </c>
      <c r="F5" s="134"/>
      <c r="G5" s="76"/>
      <c r="H5" s="79" t="s">
        <v>44</v>
      </c>
    </row>
    <row r="6" spans="1:8" ht="21.75" customHeight="1">
      <c r="A6" s="73"/>
      <c r="B6" s="78" t="s">
        <v>45</v>
      </c>
      <c r="C6" s="135" t="s">
        <v>46</v>
      </c>
      <c r="D6" s="135"/>
      <c r="E6" s="135"/>
      <c r="F6" s="135"/>
      <c r="G6" s="135"/>
      <c r="H6" s="135"/>
    </row>
    <row r="7" spans="1:8" ht="14.25" customHeight="1">
      <c r="A7" s="73"/>
      <c r="B7" s="13"/>
      <c r="C7" s="80"/>
      <c r="D7" s="74"/>
      <c r="E7" s="74"/>
      <c r="F7" s="74"/>
      <c r="G7" s="74"/>
      <c r="H7" s="75"/>
    </row>
    <row r="8" spans="1:8">
      <c r="B8" s="13"/>
      <c r="C8" s="80"/>
      <c r="D8" s="74"/>
      <c r="E8" s="74"/>
      <c r="F8" s="74"/>
      <c r="G8" s="74"/>
      <c r="H8" s="75"/>
    </row>
    <row r="10" spans="1:8" ht="14">
      <c r="A10" s="81"/>
      <c r="B10" s="82" t="s">
        <v>20</v>
      </c>
      <c r="C10" s="83" t="s">
        <v>47</v>
      </c>
      <c r="D10" s="84" t="s">
        <v>29</v>
      </c>
      <c r="E10" s="83" t="s">
        <v>32</v>
      </c>
      <c r="F10" s="83" t="s">
        <v>34</v>
      </c>
      <c r="G10" s="85" t="s">
        <v>35</v>
      </c>
      <c r="H10" s="86" t="s">
        <v>48</v>
      </c>
    </row>
    <row r="11" spans="1:8">
      <c r="A11" s="81"/>
      <c r="B11" s="87">
        <v>1</v>
      </c>
      <c r="C11" s="88" t="str">
        <f>Module1!B2</f>
        <v xml:space="preserve">Module1 </v>
      </c>
      <c r="D11" s="89">
        <f>Module1!A6</f>
        <v>7</v>
      </c>
      <c r="E11" s="89">
        <f>Module1!B6</f>
        <v>0</v>
      </c>
      <c r="F11" s="89">
        <f>Module1!C6</f>
        <v>0</v>
      </c>
      <c r="G11" s="90">
        <f>Module1!D6</f>
        <v>0</v>
      </c>
      <c r="H11" s="118">
        <f>Module1!E6</f>
        <v>7</v>
      </c>
    </row>
    <row r="12" spans="1:8">
      <c r="A12" s="81"/>
      <c r="B12" s="87">
        <v>2</v>
      </c>
      <c r="C12" s="88" t="s">
        <v>26</v>
      </c>
      <c r="D12" s="89">
        <f>Module2!A6</f>
        <v>6</v>
      </c>
      <c r="E12" s="89">
        <f>Module2!B6</f>
        <v>0</v>
      </c>
      <c r="F12" s="89">
        <f>Module2!C6</f>
        <v>0</v>
      </c>
      <c r="G12" s="90">
        <f>Module2!D6</f>
        <v>0</v>
      </c>
      <c r="H12" s="120">
        <f>Module2!E6</f>
        <v>6</v>
      </c>
    </row>
    <row r="13" spans="1:8">
      <c r="A13" s="81"/>
      <c r="B13" s="87"/>
      <c r="C13" s="88"/>
      <c r="D13" s="89"/>
      <c r="E13" s="89"/>
      <c r="F13" s="89"/>
      <c r="G13" s="90"/>
      <c r="H13" s="119"/>
    </row>
    <row r="14" spans="1:8">
      <c r="A14" s="81"/>
      <c r="B14" s="91"/>
      <c r="C14" s="92" t="s">
        <v>49</v>
      </c>
      <c r="D14" s="93">
        <f>SUM(D9:D13)</f>
        <v>13</v>
      </c>
      <c r="E14" s="93">
        <f>SUM(E9:E13)</f>
        <v>0</v>
      </c>
      <c r="F14" s="93">
        <f>SUM(F9:F13)</f>
        <v>0</v>
      </c>
      <c r="G14" s="93">
        <f>SUM(G9:G13)</f>
        <v>0</v>
      </c>
      <c r="H14" s="94">
        <f>SUM(H9:H13)</f>
        <v>13</v>
      </c>
    </row>
    <row r="15" spans="1:8">
      <c r="B15" s="95"/>
      <c r="D15" s="96"/>
      <c r="E15" s="97"/>
      <c r="F15" s="97"/>
      <c r="G15" s="97"/>
      <c r="H15" s="97"/>
    </row>
    <row r="16" spans="1:8">
      <c r="C16" s="98" t="s">
        <v>50</v>
      </c>
      <c r="E16" s="99">
        <f>(D14+E14)*100/(H14-G14)</f>
        <v>100</v>
      </c>
      <c r="F16" s="8" t="s">
        <v>51</v>
      </c>
      <c r="H16" s="72"/>
    </row>
    <row r="17" spans="3:8">
      <c r="C17" s="98" t="s">
        <v>52</v>
      </c>
      <c r="E17" s="99">
        <f>D14*100/(H14-G14)</f>
        <v>100</v>
      </c>
      <c r="F17" s="8" t="s">
        <v>51</v>
      </c>
      <c r="H17" s="72"/>
    </row>
  </sheetData>
  <mergeCells count="8">
    <mergeCell ref="C5:D5"/>
    <mergeCell ref="E5:F5"/>
    <mergeCell ref="C6:H6"/>
    <mergeCell ref="B1:H1"/>
    <mergeCell ref="C3:D3"/>
    <mergeCell ref="E3:F3"/>
    <mergeCell ref="C4:D4"/>
    <mergeCell ref="E4:F4"/>
  </mergeCells>
  <phoneticPr fontId="0" type="noConversion"/>
  <pageMargins left="0.74791666666666667" right="0.74791666666666667" top="0.98402777777777783" bottom="0.98402777777777772" header="0.51180555555555562" footer="0.5"/>
  <pageSetup firstPageNumber="0" orientation="landscape" horizontalDpi="300" verticalDpi="300"/>
  <headerFooter alignWithMargins="0">
    <oddFooter>&amp;L&amp;"Tahoma,Regular"&amp;8 02ae-BM/PM/HDCV/FSOFT v2/0&amp;C&amp;"tahoma,Regular"&amp;8Internal use&amp;R&amp;"Tahoma,Regular"&amp;8&amp;P/&amp;N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EA2A741C5885C41AB9A358CCBEA8A85" ma:contentTypeVersion="4" ma:contentTypeDescription="Create a new document." ma:contentTypeScope="" ma:versionID="b08c537a49adf1f0264621696145d4e8">
  <xsd:schema xmlns:xsd="http://www.w3.org/2001/XMLSchema" xmlns:p="http://schemas.microsoft.com/office/2006/metadata/properties" xmlns:ns1="http://schemas.microsoft.com/sharepoint/v3" xmlns:ns2="41A7A25E-88C5-415C-AB9A-358CCBEA8A85" xmlns:ns3="cd6d2771-e08b-42a3-90f8-eca630337659" targetNamespace="http://schemas.microsoft.com/office/2006/metadata/properties" ma:root="true" ma:fieldsID="79edc66073723f43766a972d30b274e4" ns1:_="" ns2:_="" ns3:_="">
    <xsd:import namespace="http://schemas.microsoft.com/sharepoint/v3"/>
    <xsd:import namespace="41A7A25E-88C5-415C-AB9A-358CCBEA8A85"/>
    <xsd:import namespace="cd6d2771-e08b-42a3-90f8-eca630337659"/>
    <xsd:element name="properties">
      <xsd:complexType>
        <xsd:sequence>
          <xsd:element name="documentManagement">
            <xsd:complexType>
              <xsd:all>
                <xsd:element ref="ns1:_ModerationComments" minOccurs="0"/>
                <xsd:element ref="ns1:File_x0020_Type" minOccurs="0"/>
                <xsd:element ref="ns1:HTML_x0020_File_x0020_Type" minOccurs="0"/>
                <xsd:element ref="ns1:_SourceUrl" minOccurs="0"/>
                <xsd:element ref="ns1:_SharedFileIndex" minOccurs="0"/>
                <xsd:element ref="ns2:Priority" minOccurs="0"/>
                <xsd:element ref="ns1:ContentTypeId" minOccurs="0"/>
                <xsd:element ref="ns1:TemplateUrl" minOccurs="0"/>
                <xsd:element ref="ns1:xd_ProgID" minOccurs="0"/>
                <xsd:element ref="ns1:xd_Signature" minOccurs="0"/>
                <xsd:element ref="ns3:Number_x0020_Of_x0020_Viewer" minOccurs="0"/>
                <xsd:element ref="ns1:ID" minOccurs="0"/>
                <xsd:element ref="ns1:Author" minOccurs="0"/>
                <xsd:element ref="ns1:Editor" minOccurs="0"/>
                <xsd:element ref="ns1:_HasCopyDestinations" minOccurs="0"/>
                <xsd:element ref="ns1:_CopySource" minOccurs="0"/>
                <xsd:element ref="ns1:_ModerationStatus" minOccurs="0"/>
                <xsd:element ref="ns1:FileRef" minOccurs="0"/>
                <xsd:element ref="ns1:FileDirRef" minOccurs="0"/>
                <xsd:element ref="ns1:Last_x0020_Modified" minOccurs="0"/>
                <xsd:element ref="ns1:Created_x0020_Date" minOccurs="0"/>
                <xsd:element ref="ns1:File_x0020_Size" minOccurs="0"/>
                <xsd:element ref="ns1:FSObjType" minOccurs="0"/>
                <xsd:element ref="ns1:CheckedOutUserId" minOccurs="0"/>
                <xsd:element ref="ns1:IsCheckedoutToLocal" minOccurs="0"/>
                <xsd:element ref="ns1:CheckoutUser" minOccurs="0"/>
                <xsd:element ref="ns1:UniqueId" minOccurs="0"/>
                <xsd:element ref="ns1:ProgId" minOccurs="0"/>
                <xsd:element ref="ns1:ScopeId" minOccurs="0"/>
                <xsd:element ref="ns1:VirusStatus" minOccurs="0"/>
                <xsd:element ref="ns1:CheckedOutTitle" minOccurs="0"/>
                <xsd:element ref="ns1:_CheckinComment" minOccurs="0"/>
                <xsd:element ref="ns1:MetaInfo" minOccurs="0"/>
                <xsd:element ref="ns1:_Level" minOccurs="0"/>
                <xsd:element ref="ns1:_IsCurrentVersion" minOccurs="0"/>
                <xsd:element ref="ns1:owshiddenversion" minOccurs="0"/>
                <xsd:element ref="ns1:_UIVersion" minOccurs="0"/>
                <xsd:element ref="ns1:_UIVersionString" minOccurs="0"/>
                <xsd:element ref="ns1:InstanceID" minOccurs="0"/>
                <xsd:element ref="ns1:Order" minOccurs="0"/>
                <xsd:element ref="ns1:GUID" minOccurs="0"/>
                <xsd:element ref="ns1:WorkflowVersion" minOccurs="0"/>
                <xsd:element ref="ns1:WorkflowInstanceID" minOccurs="0"/>
                <xsd:element ref="ns1:ParentVersionString" minOccurs="0"/>
                <xsd:element ref="ns1:ParentLeafName" minOccurs="0"/>
              </xsd:all>
            </xsd:complexType>
          </xsd:element>
        </xsd:sequence>
      </xsd:complexType>
    </xsd:element>
  </xsd:schema>
  <xsd:schema xmlns:xsd="http://www.w3.org/2001/XMLSchema" xmlns:dms="http://schemas.microsoft.com/office/2006/documentManagement/types" targetNamespace="http://schemas.microsoft.com/sharepoint/v3" elementFormDefault="qualified">
    <xsd:import namespace="http://schemas.microsoft.com/office/2006/documentManagement/types"/>
    <xsd:element name="_ModerationComments" ma:index="0" nillable="true" ma:displayName="Approver Comments" ma:hidden="true" ma:internalName="_ModerationComments" ma:readOnly="true">
      <xsd:simpleType>
        <xsd:restriction base="dms:Note"/>
      </xsd:simpleType>
    </xsd:element>
    <xsd:element name="File_x0020_Type" ma:index="4" nillable="true" ma:displayName="File Type" ma:hidden="true" ma:internalName="File_x0020_Type" ma:readOnly="true">
      <xsd:simpleType>
        <xsd:restriction base="dms:Text"/>
      </xsd:simpleType>
    </xsd:element>
    <xsd:element name="HTML_x0020_File_x0020_Type" ma:index="5" nillable="true" ma:displayName="HTML File Type" ma:hidden="true" ma:internalName="HTML_x0020_File_x0020_Type" ma:readOnly="true">
      <xsd:simpleType>
        <xsd:restriction base="dms:Text"/>
      </xsd:simpleType>
    </xsd:element>
    <xsd:element name="_SourceUrl" ma:index="6" nillable="true" ma:displayName="Source Url" ma:hidden="true" ma:internalName="_SourceUrl">
      <xsd:simpleType>
        <xsd:restriction base="dms:Text"/>
      </xsd:simpleType>
    </xsd:element>
    <xsd:element name="_SharedFileIndex" ma:index="7" nillable="true" ma:displayName="Shared File Index" ma:hidden="true" ma:internalName="_SharedFileIndex">
      <xsd:simpleType>
        <xsd:restriction base="dms:Text"/>
      </xsd:simpleType>
    </xsd:element>
    <xsd:element name="ContentTypeId" ma:index="10" nillable="true" ma:displayName="Content Type ID" ma:hidden="true" ma:internalName="ContentTypeId" ma:readOnly="true">
      <xsd:simpleType>
        <xsd:restriction base="dms:Unknown"/>
      </xsd:simpleType>
    </xsd:element>
    <xsd:element name="TemplateUrl" ma:index="11" nillable="true" ma:displayName="Template Link" ma:hidden="true" ma:internalName="TemplateUrl">
      <xsd:simpleType>
        <xsd:restriction base="dms:Text"/>
      </xsd:simpleType>
    </xsd:element>
    <xsd:element name="xd_ProgID" ma:index="12" nillable="true" ma:displayName="Html File Link" ma:hidden="true" ma:internalName="xd_ProgID">
      <xsd:simpleType>
        <xsd:restriction base="dms:Text"/>
      </xsd:simpleType>
    </xsd:element>
    <xsd:element name="xd_Signature" ma:index="13" nillable="true" ma:displayName="Is Signed" ma:hidden="true" ma:internalName="xd_Signature" ma:readOnly="true">
      <xsd:simpleType>
        <xsd:restriction base="dms:Boolean"/>
      </xsd:simpleType>
    </xsd:element>
    <xsd:element name="ID" ma:index="15" nillable="true" ma:displayName="ID" ma:internalName="ID" ma:readOnly="true">
      <xsd:simpleType>
        <xsd:restriction base="dms:Unknown"/>
      </xsd:simpleType>
    </xsd:element>
    <xsd:element name="Author" ma:index="18" nillable="true" ma:displayName="Created By" ma:list="UserInfo" ma:internalName="Autho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ditor" ma:index="20" nillable="true" ma:displayName="Modified By" ma:list="UserInfo" ma:internalName="Edito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HasCopyDestinations" ma:index="21" nillable="true" ma:displayName="Has Copy Destinations" ma:hidden="true" ma:internalName="_HasCopyDestinations" ma:readOnly="true">
      <xsd:simpleType>
        <xsd:restriction base="dms:Boolean"/>
      </xsd:simpleType>
    </xsd:element>
    <xsd:element name="_CopySource" ma:index="22" nillable="true" ma:displayName="Copy Source" ma:internalName="_CopySource" ma:readOnly="true">
      <xsd:simpleType>
        <xsd:restriction base="dms:Text"/>
      </xsd:simpleType>
    </xsd:element>
    <xsd:element name="_ModerationStatus" ma:index="23" nillable="true" ma:displayName="Approval Status" ma:default="0" ma:hidden="true" ma:internalName="_ModerationStatus" ma:readOnly="true">
      <xsd:simpleType>
        <xsd:restriction base="dms:Unknown"/>
      </xsd:simpleType>
    </xsd:element>
    <xsd:element name="FileRef" ma:index="24" nillable="true" ma:displayName="URL Path" ma:hidden="true" ma:list="Docs" ma:internalName="FileRef" ma:readOnly="true" ma:showField="FullUrl">
      <xsd:simpleType>
        <xsd:restriction base="dms:Lookup"/>
      </xsd:simpleType>
    </xsd:element>
    <xsd:element name="FileDirRef" ma:index="25" nillable="true" ma:displayName="Path" ma:hidden="true" ma:list="Docs" ma:internalName="FileDirRef" ma:readOnly="true" ma:showField="DirName">
      <xsd:simpleType>
        <xsd:restriction base="dms:Lookup"/>
      </xsd:simpleType>
    </xsd:element>
    <xsd:element name="Last_x0020_Modified" ma:index="26" nillable="true" ma:displayName="Modified" ma:format="TRUE" ma:hidden="true" ma:list="Docs" ma:internalName="Last_x0020_Modified" ma:readOnly="true" ma:showField="TimeLastModified">
      <xsd:simpleType>
        <xsd:restriction base="dms:Lookup"/>
      </xsd:simpleType>
    </xsd:element>
    <xsd:element name="Created_x0020_Date" ma:index="27" nillable="true" ma:displayName="Created" ma:format="TRUE" ma:hidden="true" ma:list="Docs" ma:internalName="Created_x0020_Date" ma:readOnly="true" ma:showField="TimeCreated">
      <xsd:simpleType>
        <xsd:restriction base="dms:Lookup"/>
      </xsd:simpleType>
    </xsd:element>
    <xsd:element name="File_x0020_Size" ma:index="28" nillable="true" ma:displayName="File Size" ma:format="TRUE" ma:hidden="true" ma:list="Docs" ma:internalName="File_x0020_Size" ma:readOnly="true" ma:showField="SizeInKB">
      <xsd:simpleType>
        <xsd:restriction base="dms:Lookup"/>
      </xsd:simpleType>
    </xsd:element>
    <xsd:element name="FSObjType" ma:index="29" nillable="true" ma:displayName="Item Type" ma:hidden="true" ma:list="Docs" ma:internalName="FSObjType" ma:readOnly="true" ma:showField="FSType">
      <xsd:simpleType>
        <xsd:restriction base="dms:Lookup"/>
      </xsd:simpleType>
    </xsd:element>
    <xsd:element name="CheckedOutUserId" ma:index="31" nillable="true" ma:displayName="ID of the User who has the item Checked Out" ma:hidden="true" ma:list="Docs" ma:internalName="CheckedOutUserId" ma:readOnly="true" ma:showField="CheckoutUserId">
      <xsd:simpleType>
        <xsd:restriction base="dms:Lookup"/>
      </xsd:simpleType>
    </xsd:element>
    <xsd:element name="IsCheckedoutToLocal" ma:index="32" nillable="true" ma:displayName="Is Checked out to local" ma:hidden="true" ma:list="Docs" ma:internalName="IsCheckedoutToLocal" ma:readOnly="true" ma:showField="IsCheckoutToLocal">
      <xsd:simpleType>
        <xsd:restriction base="dms:Lookup"/>
      </xsd:simpleType>
    </xsd:element>
    <xsd:element name="CheckoutUser" ma:index="33" nillable="true" ma:displayName="Checked Out To" ma:list="UserInfo" ma:internalName="CheckoutUse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UniqueId" ma:index="34" nillable="true" ma:displayName="Unique Id" ma:hidden="true" ma:list="Docs" ma:internalName="UniqueId" ma:readOnly="true" ma:showField="UniqueId">
      <xsd:simpleType>
        <xsd:restriction base="dms:Lookup"/>
      </xsd:simpleType>
    </xsd:element>
    <xsd:element name="ProgId" ma:index="35" nillable="true" ma:displayName="ProgId" ma:hidden="true" ma:list="Docs" ma:internalName="ProgId" ma:readOnly="true" ma:showField="ProgId">
      <xsd:simpleType>
        <xsd:restriction base="dms:Lookup"/>
      </xsd:simpleType>
    </xsd:element>
    <xsd:element name="ScopeId" ma:index="36" nillable="true" ma:displayName="ScopeId" ma:hidden="true" ma:list="Docs" ma:internalName="ScopeId" ma:readOnly="true" ma:showField="ScopeId">
      <xsd:simpleType>
        <xsd:restriction base="dms:Lookup"/>
      </xsd:simpleType>
    </xsd:element>
    <xsd:element name="VirusStatus" ma:index="37" nillable="true" ma:displayName="Virus Status" ma:format="TRUE" ma:hidden="true" ma:list="Docs" ma:internalName="VirusStatus" ma:readOnly="true" ma:showField="Size">
      <xsd:simpleType>
        <xsd:restriction base="dms:Lookup"/>
      </xsd:simpleType>
    </xsd:element>
    <xsd:element name="CheckedOutTitle" ma:index="38" nillable="true" ma:displayName="Checked Out To" ma:format="TRUE" ma:hidden="true" ma:list="Docs" ma:internalName="CheckedOutTitle" ma:readOnly="true" ma:showField="CheckedOutTitle">
      <xsd:simpleType>
        <xsd:restriction base="dms:Lookup"/>
      </xsd:simpleType>
    </xsd:element>
    <xsd:element name="_CheckinComment" ma:index="39" nillable="true" ma:displayName="Check In Comment" ma:format="TRUE" ma:list="Docs" ma:internalName="_CheckinComment" ma:readOnly="true" ma:showField="CheckinComment">
      <xsd:simpleType>
        <xsd:restriction base="dms:Lookup"/>
      </xsd:simpleType>
    </xsd:element>
    <xsd:element name="MetaInfo" ma:index="50" nillable="true" ma:displayName="Property Bag" ma:hidden="true" ma:list="Docs" ma:internalName="MetaInfo" ma:showField="MetaInfo">
      <xsd:simpleType>
        <xsd:restriction base="dms:Lookup"/>
      </xsd:simpleType>
    </xsd:element>
    <xsd:element name="_Level" ma:index="51" nillable="true" ma:displayName="Level" ma:hidden="true" ma:internalName="_Level" ma:readOnly="true">
      <xsd:simpleType>
        <xsd:restriction base="dms:Unknown"/>
      </xsd:simpleType>
    </xsd:element>
    <xsd:element name="_IsCurrentVersion" ma:index="52" nillable="true" ma:displayName="Is Current Version" ma:hidden="true" ma:internalName="_IsCurrentVersion" ma:readOnly="true">
      <xsd:simpleType>
        <xsd:restriction base="dms:Boolean"/>
      </xsd:simpleType>
    </xsd:element>
    <xsd:element name="owshiddenversion" ma:index="56" nillable="true" ma:displayName="owshiddenversion" ma:hidden="true" ma:internalName="owshiddenversion" ma:readOnly="true">
      <xsd:simpleType>
        <xsd:restriction base="dms:Unknown"/>
      </xsd:simpleType>
    </xsd:element>
    <xsd:element name="_UIVersion" ma:index="57" nillable="true" ma:displayName="UI Version" ma:hidden="true" ma:internalName="_UIVersion" ma:readOnly="true">
      <xsd:simpleType>
        <xsd:restriction base="dms:Unknown"/>
      </xsd:simpleType>
    </xsd:element>
    <xsd:element name="_UIVersionString" ma:index="58" nillable="true" ma:displayName="Version" ma:internalName="_UIVersionString" ma:readOnly="true">
      <xsd:simpleType>
        <xsd:restriction base="dms:Text"/>
      </xsd:simpleType>
    </xsd:element>
    <xsd:element name="InstanceID" ma:index="59" nillable="true" ma:displayName="Instance ID" ma:hidden="true" ma:internalName="InstanceID" ma:readOnly="true">
      <xsd:simpleType>
        <xsd:restriction base="dms:Unknown"/>
      </xsd:simpleType>
    </xsd:element>
    <xsd:element name="Order" ma:index="60" nillable="true" ma:displayName="Order" ma:hidden="true" ma:internalName="Order">
      <xsd:simpleType>
        <xsd:restriction base="dms:Number"/>
      </xsd:simpleType>
    </xsd:element>
    <xsd:element name="GUID" ma:index="61" nillable="true" ma:displayName="GUID" ma:hidden="true" ma:internalName="GUID" ma:readOnly="true">
      <xsd:simpleType>
        <xsd:restriction base="dms:Unknown"/>
      </xsd:simpleType>
    </xsd:element>
    <xsd:element name="WorkflowVersion" ma:index="62" nillable="true" ma:displayName="Workflow Version" ma:hidden="true" ma:internalName="WorkflowVersion" ma:readOnly="true">
      <xsd:simpleType>
        <xsd:restriction base="dms:Unknown"/>
      </xsd:simpleType>
    </xsd:element>
    <xsd:element name="WorkflowInstanceID" ma:index="63" nillable="true" ma:displayName="Workflow Instance ID" ma:hidden="true" ma:internalName="WorkflowInstanceID" ma:readOnly="true">
      <xsd:simpleType>
        <xsd:restriction base="dms:Unknown"/>
      </xsd:simpleType>
    </xsd:element>
    <xsd:element name="ParentVersionString" ma:index="64" nillable="true" ma:displayName="Source Version (Converted Document)" ma:hidden="true" ma:list="Docs" ma:internalName="ParentVersionString" ma:readOnly="true" ma:showField="ParentVersionString">
      <xsd:simpleType>
        <xsd:restriction base="dms:Lookup"/>
      </xsd:simpleType>
    </xsd:element>
    <xsd:element name="ParentLeafName" ma:index="65" nillable="true" ma:displayName="Source Name (Converted Document)" ma:hidden="true" ma:list="Docs" ma:internalName="ParentLeafName" ma:readOnly="true" ma:showField="ParentLeafName">
      <xsd:simpleType>
        <xsd:restriction base="dms:Lookup"/>
      </xsd:simpleType>
    </xsd:element>
  </xsd:schema>
  <xsd:schema xmlns:xsd="http://www.w3.org/2001/XMLSchema" xmlns:dms="http://schemas.microsoft.com/office/2006/documentManagement/types" targetNamespace="41A7A25E-88C5-415C-AB9A-358CCBEA8A85" elementFormDefault="qualified">
    <xsd:import namespace="http://schemas.microsoft.com/office/2006/documentManagement/types"/>
    <xsd:element name="Priority" ma:index="9" nillable="true" ma:displayName="Priority" ma:internalName="Priority">
      <xsd:simpleType>
        <xsd:restriction base="dms:Number"/>
      </xsd:simpleType>
    </xsd:element>
  </xsd:schema>
  <xsd:schema xmlns:xsd="http://www.w3.org/2001/XMLSchema" xmlns:dms="http://schemas.microsoft.com/office/2006/documentManagement/types" targetNamespace="cd6d2771-e08b-42a3-90f8-eca630337659" elementFormDefault="qualified">
    <xsd:import namespace="http://schemas.microsoft.com/office/2006/documentManagement/types"/>
    <xsd:element name="Number_x0020_Of_x0020_Viewer" ma:index="14" nillable="true" ma:displayName="Number Of Viewer" ma:default="0" ma:internalName="Number_x0020_Of_x0020_Viewer">
      <xsd:simpleType>
        <xsd:restriction base="dms:Number"/>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6" ma:displayName="Content Type" ma:readOnly="tru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85ED280E-F51D-42B1-B363-4EC477D089ED}">
  <ds:schemaRefs>
    <ds:schemaRef ds:uri="http://schemas.microsoft.com/sharepoint/v3/contenttype/forms"/>
  </ds:schemaRefs>
</ds:datastoreItem>
</file>

<file path=customXml/itemProps2.xml><?xml version="1.0" encoding="utf-8"?>
<ds:datastoreItem xmlns:ds="http://schemas.openxmlformats.org/officeDocument/2006/customXml" ds:itemID="{0FCAE63D-5380-40ED-A43E-1567E1C2037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1A7A25E-88C5-415C-AB9A-358CCBEA8A85"/>
    <ds:schemaRef ds:uri="cd6d2771-e08b-42a3-90f8-eca630337659"/>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Cover</vt:lpstr>
      <vt:lpstr>Test case List</vt:lpstr>
      <vt:lpstr>Module1</vt:lpstr>
      <vt:lpstr>Module2</vt:lpstr>
      <vt:lpstr>testdata</vt:lpstr>
      <vt:lpstr>Test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dc:title>
  <dc:subject>v1/0</dc:subject>
  <dc:creator>pc</dc:creator>
  <dc:description>Updates sheet Cover: Add logo, document code, creator, reviewer/approver._x000d_
Add sheet Test Case List._x000d_
Change Sheet Company, User, Provider to Modules. Add column Inter-test case dependent. Update these sheets._x000d_
Update Test Report</dc:description>
  <cp:lastModifiedBy>Đỗ Nguyễn Nhật Trường</cp:lastModifiedBy>
  <cp:lastPrinted>2010-11-12T10:33:20Z</cp:lastPrinted>
  <dcterms:created xsi:type="dcterms:W3CDTF">2011-06-02T09:10:50Z</dcterms:created>
  <dcterms:modified xsi:type="dcterms:W3CDTF">2025-12-16T08:10:01Z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teUrl">
    <vt:lpwstr/>
  </property>
  <property fmtid="{D5CDD505-2E9C-101B-9397-08002B2CF9AE}" pid="3" name="Number Of Viewer">
    <vt:lpwstr>0</vt:lpwstr>
  </property>
  <property fmtid="{D5CDD505-2E9C-101B-9397-08002B2CF9AE}" pid="4" name="_SourceUrl">
    <vt:lpwstr/>
  </property>
  <property fmtid="{D5CDD505-2E9C-101B-9397-08002B2CF9AE}" pid="5" name="Priority">
    <vt:lpwstr/>
  </property>
  <property fmtid="{D5CDD505-2E9C-101B-9397-08002B2CF9AE}" pid="6" name="xd_ProgID">
    <vt:lpwstr/>
  </property>
  <property fmtid="{D5CDD505-2E9C-101B-9397-08002B2CF9AE}" pid="7" name="Order">
    <vt:lpwstr/>
  </property>
  <property fmtid="{D5CDD505-2E9C-101B-9397-08002B2CF9AE}" pid="8" name="MetaInfo">
    <vt:lpwstr/>
  </property>
  <property fmtid="{D5CDD505-2E9C-101B-9397-08002B2CF9AE}" pid="9" name="_SharedFileIndex">
    <vt:lpwstr/>
  </property>
</Properties>
</file>