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5CC30EA6-A607-2F47-B21A-0B6DB6F4911E}" xr6:coauthVersionLast="47" xr6:coauthVersionMax="47" xr10:uidLastSave="{00000000-0000-0000-0000-000000000000}"/>
  <bookViews>
    <workbookView xWindow="0" yWindow="680" windowWidth="34560" windowHeight="20060" tabRatio="821" activeTab="5" xr2:uid="{54D1C333-A8F3-504F-8D67-28F9DF72E520}"/>
  </bookViews>
  <sheets>
    <sheet name="Cover" sheetId="1" r:id="rId1"/>
    <sheet name="Test case List" sheetId="2" r:id="rId2"/>
    <sheet name="Module1" sheetId="3" r:id="rId3"/>
    <sheet name="Module2" sheetId="9" r:id="rId4"/>
    <sheet name="testdata" sheetId="8" r:id="rId5"/>
    <sheet name="Test Report" sheetId="5" r:id="rId6"/>
  </sheets>
  <definedNames>
    <definedName name="_xlnm._FilterDatabase" localSheetId="2" hidden="1">Module1!$A$8:$I$13</definedName>
    <definedName name="_xlnm._FilterDatabase" localSheetId="3" hidden="1">Module2!$A$8:$H$14</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5" l="1"/>
  <c r="E12" i="5"/>
  <c r="F12" i="5"/>
  <c r="G12" i="5"/>
  <c r="D12" i="5"/>
  <c r="D6" i="3"/>
  <c r="B6" i="3"/>
  <c r="E11" i="5" s="1"/>
  <c r="A6" i="3"/>
  <c r="D11" i="5" s="1"/>
  <c r="E6" i="9"/>
  <c r="D6" i="9"/>
  <c r="B6" i="9"/>
  <c r="A6" i="9"/>
  <c r="C6" i="1"/>
  <c r="D3" i="2"/>
  <c r="D4" i="2"/>
  <c r="C5" i="5"/>
  <c r="C11" i="5"/>
  <c r="C6" i="9" l="1"/>
  <c r="E14" i="5"/>
  <c r="D14" i="5"/>
  <c r="H11" i="5"/>
  <c r="H14" i="5" s="1"/>
  <c r="G11" i="5"/>
  <c r="G14" i="5" l="1"/>
  <c r="E16" i="5" s="1"/>
  <c r="C6" i="3"/>
  <c r="F11" i="5" s="1"/>
  <c r="F14" i="5" s="1"/>
  <c r="E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sharedStrings.xml><?xml version="1.0" encoding="utf-8"?>
<sst xmlns="http://schemas.openxmlformats.org/spreadsheetml/2006/main" count="280" uniqueCount="170">
  <si>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</si>
  <si>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</si>
  <si>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</si>
  <si>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</si>
  <si>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</si>
  <si>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</si>
  <si>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</si>
  <si>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</si>
  <si>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</si>
  <si>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</si>
  <si>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</si>
  <si>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</si>
  <si>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</si>
  <si>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</si>
  <si>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</si>
  <si>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</si>
  <si>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</si>
  <si>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</si>
  <si>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</si>
  <si>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</si>
  <si>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</si>
  <si>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</si>
  <si>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</si>
  <si>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</si>
  <si>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</si>
  <si>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</si>
  <si>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</si>
  <si>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</si>
  <si>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</si>
  <si>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</si>
  <si>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</si>
  <si>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</si>
  <si>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</si>
  <si>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</si>
  <si>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</si>
  <si>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</si>
  <si>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</si>
  <si>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</si>
  <si>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</si>
  <si>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</si>
  <si>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</si>
  <si>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</si>
  <si>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</si>
  <si>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</si>
  <si>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</si>
  <si>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</si>
  <si>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</si>
  <si>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</si>
  <si>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</si>
  <si>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</si>
  <si>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</si>
  <si>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</si>
  <si>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</si>
  <si>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</si>
  <si>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</si>
  <si>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</si>
  <si>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</si>
  <si>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</si>
  <si>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</si>
  <si>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TestData03</t>
  </si>
  <si>
    <t>TestData04</t>
  </si>
  <si>
    <t>TestData05</t>
  </si>
  <si>
    <t>TestData06</t>
  </si>
  <si>
    <t>TestData07</t>
  </si>
  <si>
    <t>TestData08</t>
  </si>
  <si>
    <t>TestData09</t>
  </si>
  <si>
    <t>TestData10</t>
  </si>
  <si>
    <t>TestData11</t>
  </si>
  <si>
    <t>Browser Compatibility</t>
  </si>
  <si>
    <t xml:space="preserve">OS Compatibility </t>
  </si>
  <si>
    <t>Verify website layout on Chrome</t>
  </si>
  <si>
    <t>App deployed, Chrome installed</t>
  </si>
  <si>
    <t>Layout displayed correctly</t>
  </si>
  <si>
    <t>Browser: Chrome</t>
  </si>
  <si>
    <t>Verify website layout on Safari</t>
  </si>
  <si>
    <t>App deployed, Safari installed</t>
  </si>
  <si>
    <t>Browser: Safari</t>
  </si>
  <si>
    <t>Verify login on all browsers</t>
  </si>
  <si>
    <t>User exists</t>
  </si>
  <si>
    <t>Login successful</t>
  </si>
  <si>
    <t>Chrome, Safari, Edge</t>
  </si>
  <si>
    <t>Verify add to cart on all browsers</t>
  </si>
  <si>
    <t>User logged in</t>
  </si>
  <si>
    <t>Item added successfully</t>
  </si>
  <si>
    <t>Verify payment on all browsers</t>
  </si>
  <si>
    <t>Cart has items</t>
  </si>
  <si>
    <t>Payment successful</t>
  </si>
  <si>
    <t>Verify UI consistency across browsers</t>
  </si>
  <si>
    <t>App accessible</t>
  </si>
  <si>
    <t>UI consistent</t>
  </si>
  <si>
    <t>TC_BC_01</t>
  </si>
  <si>
    <t>TC_BC_02</t>
  </si>
  <si>
    <t>TC_BC_03</t>
  </si>
  <si>
    <t>TC_BC_04</t>
  </si>
  <si>
    <t>TC_BC_05</t>
  </si>
  <si>
    <t>TC_BC_06</t>
  </si>
  <si>
    <t>TC_BC_07</t>
  </si>
  <si>
    <t>Windows installed</t>
  </si>
  <si>
    <t>OS: Windows</t>
  </si>
  <si>
    <t>Verify layout on macOS</t>
  </si>
  <si>
    <t>macOS installed</t>
  </si>
  <si>
    <t>OS: macOS</t>
  </si>
  <si>
    <t>Verify login on Windows and macOS</t>
  </si>
  <si>
    <t>Windows, macOS</t>
  </si>
  <si>
    <t>Verify add to cart on Windows and macOS</t>
  </si>
  <si>
    <t>Verify payment on Windows and macOS</t>
  </si>
  <si>
    <t>Verify UI consistency on Windows and macOS</t>
  </si>
  <si>
    <t>TC_OSC_01</t>
  </si>
  <si>
    <t>TC_OSC_02</t>
  </si>
  <si>
    <t>TC_OSC_03</t>
  </si>
  <si>
    <t>TC_OSC_04</t>
  </si>
  <si>
    <t>TC_OSC_05</t>
  </si>
  <si>
    <t>TC_OSC_06</t>
  </si>
  <si>
    <t>Pre condition</t>
  </si>
  <si>
    <t>Pre-condition</t>
  </si>
  <si>
    <t>Environment</t>
  </si>
  <si>
    <t>1. Open Browser on Windows/macOS.
2. Navigate to Login Page.
3. Enter valid Username &amp; Password.
4. Click 'Login' button.</t>
  </si>
  <si>
    <t>Verify layout on Windows</t>
  </si>
  <si>
    <t>1. Open Browser on Windows
2. Access website on Windows
3. Access website admin on Windows.</t>
  </si>
  <si>
    <t>1. Open Browser on Windows/macOS.
2. Navigate to Login Page.
3. Enter valid Username &amp; Password.
4. Click 'Login' button.
5. Adding food item from Menu page</t>
  </si>
  <si>
    <t>1. Open Browser on Windows/macOS.
2. Navigate to Login Page.
3. Enter valid Username &amp; Password.
4. Click 'Login' button.
5. Adding food item from Menu page
6. Go to cart to checkout</t>
  </si>
  <si>
    <t>1. Open Browser on Windows and macOS.
2. Access website and admin website
3. Compare UI elements</t>
  </si>
  <si>
    <t>testdata01</t>
  </si>
  <si>
    <t>testdata02</t>
  </si>
  <si>
    <t>testdata04</t>
  </si>
  <si>
    <t>testdata05</t>
  </si>
  <si>
    <t>testdata06</t>
  </si>
  <si>
    <t>testdata</t>
  </si>
  <si>
    <t>Environment Data</t>
  </si>
  <si>
    <t>testdata07</t>
  </si>
  <si>
    <t>testdata08</t>
  </si>
  <si>
    <t>testdata09</t>
  </si>
  <si>
    <t>testdata10</t>
  </si>
  <si>
    <t>testdata11</t>
  </si>
  <si>
    <t>testdata12</t>
  </si>
  <si>
    <t>testdata13</t>
  </si>
  <si>
    <t>1. Open the Homepage on the target environment.
2. Scroll from top to bottom.
3. Resize browser window (if applicable).
4. Check alignment of Header, Footer, and Body sections.</t>
  </si>
  <si>
    <t>1. Navigate through Home, Product, and Cart pages.
2. Observe the Font style and Font size.
3. Check Icon alignment and resolution.
4. Compare visual elements against the Design System (or Baseline).</t>
  </si>
  <si>
    <t>1. Navigate to the Login page.
2. Enter valid Username.
3. Enter valid Password.
4. Click the 'Login' button.</t>
  </si>
  <si>
    <t>1. Go to the Product Listing page.
2. Click on a specific product image.
3. Verify Product Detail page loads.
4. Click the 'Add to Cart' button.</t>
  </si>
  <si>
    <t>1. Click on the Cart icon to view cart.
2. Click the 'Checkout' button.
3. Enter valid Shipping Information.
4. Enter valid Payment details.
5. Click 'Place Order' (or Pay).</t>
  </si>
  <si>
    <t>TestDataID</t>
  </si>
  <si>
    <t>Data Details</t>
  </si>
  <si>
    <t>Used Test Case</t>
  </si>
  <si>
    <t>Homepage layout test data</t>
  </si>
  <si>
    <t>Valid login credentials</t>
  </si>
  <si>
    <t>Add-to-cart product data</t>
  </si>
  <si>
    <t>Payment data</t>
  </si>
  <si>
    <t>UI reference data</t>
  </si>
  <si>
    <t>Windows layout test data</t>
  </si>
  <si>
    <t>macOS layout test data</t>
  </si>
  <si>
    <t>Login data for OS compatibility</t>
  </si>
  <si>
    <t>Add-to-cart data for OS compatibility</t>
  </si>
  <si>
    <t>TestData12</t>
  </si>
  <si>
    <t>Payment data for OS compatibility</t>
  </si>
  <si>
    <t>TestData13</t>
  </si>
  <si>
    <t>UI reference data for OS compatibility</t>
  </si>
  <si>
    <t>Product: Burger; Detail: Ngon</t>
  </si>
  <si>
    <t>OS: Windows 11; Resolution: 1920x1080</t>
  </si>
  <si>
    <t>OS: macOS 26; Resolution: 1440x900</t>
  </si>
  <si>
    <t>Product: Pizza; Detail: ngon</t>
  </si>
  <si>
    <t>Font: Outfit; Icons: Material Icons</t>
  </si>
  <si>
    <t>Module</t>
  </si>
  <si>
    <t>Module 1</t>
  </si>
  <si>
    <t>Module 2</t>
  </si>
  <si>
    <t>Username: user1@gmail.com; Password: 123123123</t>
  </si>
  <si>
    <t>Module3</t>
  </si>
  <si>
    <t>Chrome, Safari</t>
  </si>
  <si>
    <t>Credit Card: 4242 4242 4242; Exp: 12/27; CVV: 123; Name: Tinh
email: 122@gmail.com</t>
  </si>
  <si>
    <t>URL homepage: https://frontend-deploy-8yh2.onrender.com
URL admin: https://admin-deploy-4xtl.onrender.com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</si>
</sst>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3">
    <font>
      <sz val="11"/>
      <name val="ＭＳ Ｐゴシック"/>
      <family val="3"/>
      <charset val="128"/>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8"/>
      <name val="ＭＳ Ｐゴシック"/>
      <family val="3"/>
      <charset val="128"/>
    </font>
    <font>
      <sz val="11"/>
      <color rgb="FF000000"/>
      <name val="Calibri"/>
      <family val="2"/>
    </font>
    <font>
      <sz val="14"/>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6">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bottom style="thin">
        <color indexed="8"/>
      </bottom>
      <diagonal/>
    </border>
    <border>
      <left style="thin">
        <color indexed="64"/>
      </left>
      <right style="thin">
        <color indexed="64"/>
      </right>
      <top style="thin">
        <color indexed="64"/>
      </top>
      <bottom style="thin">
        <color indexed="64"/>
      </bottom>
      <diagonal/>
    </border>
    <border>
      <left style="hair">
        <color indexed="8"/>
      </left>
      <right style="medium">
        <color indexed="8"/>
      </right>
      <top style="hair">
        <color indexed="8"/>
      </top>
      <bottom/>
      <diagonal/>
    </border>
    <border>
      <left style="hair">
        <color indexed="8"/>
      </left>
      <right style="medium">
        <color indexed="8"/>
      </right>
      <top/>
      <bottom style="hair">
        <color indexed="8"/>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5">
    <xf numFmtId="0" fontId="0" fillId="0" borderId="0"/>
    <xf numFmtId="0" fontId="15" fillId="0" borderId="0" applyNumberFormat="0" applyFill="0" applyBorder="0" applyAlignment="0" applyProtection="0"/>
    <xf numFmtId="0" fontId="19" fillId="0" borderId="0"/>
    <xf numFmtId="0" fontId="19" fillId="0" borderId="0"/>
    <xf numFmtId="0" fontId="1" fillId="0" borderId="0"/>
  </cellStyleXfs>
  <cellXfs count="142">
    <xf numFmtId="0" fontId="0" fillId="0" borderId="0" xfId="0"/>
    <xf numFmtId="0" fontId="2" fillId="0" borderId="0" xfId="0" applyFont="1"/>
    <xf numFmtId="0" fontId="2" fillId="0" borderId="0" xfId="0" applyFont="1" applyAlignment="1">
      <alignment horizontal="left" indent="1"/>
    </xf>
    <xf numFmtId="0" fontId="3" fillId="2" borderId="0" xfId="0" applyFont="1" applyFill="1" applyAlignment="1">
      <alignment horizontal="center" vertical="center"/>
    </xf>
    <xf numFmtId="0" fontId="4" fillId="0" borderId="1" xfId="0" applyFont="1" applyBorder="1" applyAlignment="1">
      <alignment horizontal="center" vertical="center"/>
    </xf>
    <xf numFmtId="0" fontId="2" fillId="0" borderId="0" xfId="0" applyFont="1" applyAlignment="1">
      <alignment horizontal="center" vertical="center"/>
    </xf>
    <xf numFmtId="0" fontId="6" fillId="2" borderId="0" xfId="0" applyFont="1" applyFill="1" applyAlignment="1">
      <alignment horizontal="left" indent="1"/>
    </xf>
    <xf numFmtId="0" fontId="7" fillId="0" borderId="0" xfId="0" applyFont="1" applyAlignment="1">
      <alignment horizontal="left" indent="1"/>
    </xf>
    <xf numFmtId="0" fontId="2" fillId="2" borderId="0" xfId="0" applyFont="1" applyFill="1"/>
    <xf numFmtId="0" fontId="6" fillId="2" borderId="2" xfId="0" applyFont="1" applyFill="1" applyBorder="1" applyAlignment="1">
      <alignment horizontal="left"/>
    </xf>
    <xf numFmtId="0" fontId="2" fillId="0" borderId="3" xfId="0" applyFont="1" applyBorder="1"/>
    <xf numFmtId="0" fontId="6" fillId="2" borderId="2" xfId="0" applyFont="1" applyFill="1" applyBorder="1" applyAlignment="1">
      <alignment horizontal="left" vertical="center"/>
    </xf>
    <xf numFmtId="0" fontId="7" fillId="0" borderId="3" xfId="0" applyFont="1" applyBorder="1" applyAlignment="1">
      <alignment horizontal="left" indent="1"/>
    </xf>
    <xf numFmtId="0" fontId="6" fillId="2" borderId="0" xfId="0" applyFont="1" applyFill="1"/>
    <xf numFmtId="0" fontId="7" fillId="0" borderId="0" xfId="0" applyFont="1" applyAlignment="1">
      <alignment horizontal="left"/>
    </xf>
    <xf numFmtId="0" fontId="6" fillId="0" borderId="0" xfId="0" applyFont="1" applyAlignment="1">
      <alignment horizontal="left"/>
    </xf>
    <xf numFmtId="0" fontId="2" fillId="0" borderId="0" xfId="0" applyFont="1" applyAlignment="1">
      <alignment vertical="center"/>
    </xf>
    <xf numFmtId="164" fontId="8" fillId="3" borderId="4" xfId="0" applyNumberFormat="1" applyFont="1" applyFill="1" applyBorder="1" applyAlignment="1">
      <alignment horizontal="center" vertical="center"/>
    </xf>
    <xf numFmtId="0" fontId="8" fillId="3" borderId="5" xfId="0" applyFont="1" applyFill="1" applyBorder="1" applyAlignment="1">
      <alignment horizontal="center" vertical="center"/>
    </xf>
    <xf numFmtId="0" fontId="8" fillId="3" borderId="6" xfId="0" applyFont="1" applyFill="1" applyBorder="1" applyAlignment="1">
      <alignment horizontal="center" vertical="center"/>
    </xf>
    <xf numFmtId="0" fontId="2" fillId="0" borderId="0" xfId="0" applyFont="1" applyAlignment="1">
      <alignment vertical="top"/>
    </xf>
    <xf numFmtId="0" fontId="7" fillId="0" borderId="7" xfId="0" applyFont="1" applyBorder="1" applyAlignment="1">
      <alignment vertical="top" wrapText="1"/>
    </xf>
    <xf numFmtId="49" fontId="2" fillId="0" borderId="8" xfId="0" applyNumberFormat="1" applyFont="1" applyBorder="1" applyAlignment="1">
      <alignment vertical="top"/>
    </xf>
    <xf numFmtId="0" fontId="2" fillId="0" borderId="8" xfId="0" applyFont="1" applyBorder="1" applyAlignment="1">
      <alignment vertical="top"/>
    </xf>
    <xf numFmtId="15" fontId="2" fillId="0" borderId="8" xfId="0" applyNumberFormat="1" applyFont="1" applyBorder="1" applyAlignment="1">
      <alignment vertical="top"/>
    </xf>
    <xf numFmtId="0" fontId="7" fillId="0" borderId="9" xfId="0" applyFont="1" applyBorder="1" applyAlignment="1">
      <alignment vertical="top" wrapText="1"/>
    </xf>
    <xf numFmtId="164" fontId="2" fillId="0" borderId="7" xfId="0" applyNumberFormat="1" applyFont="1" applyBorder="1" applyAlignment="1">
      <alignment vertical="top"/>
    </xf>
    <xf numFmtId="0" fontId="2" fillId="0" borderId="9" xfId="0" applyFont="1" applyBorder="1" applyAlignment="1">
      <alignment vertical="top"/>
    </xf>
    <xf numFmtId="164" fontId="2" fillId="0" borderId="10" xfId="0" applyNumberFormat="1" applyFont="1" applyBorder="1" applyAlignment="1">
      <alignment vertical="top"/>
    </xf>
    <xf numFmtId="49" fontId="2" fillId="0" borderId="11" xfId="0" applyNumberFormat="1" applyFont="1" applyBorder="1" applyAlignment="1">
      <alignment vertical="top"/>
    </xf>
    <xf numFmtId="0" fontId="2" fillId="0" borderId="11" xfId="0" applyFont="1" applyBorder="1" applyAlignment="1">
      <alignment vertical="top"/>
    </xf>
    <xf numFmtId="0" fontId="2" fillId="0" borderId="12" xfId="0" applyFont="1" applyBorder="1" applyAlignment="1">
      <alignment vertical="top"/>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5" fillId="2" borderId="0" xfId="0" applyFont="1" applyFill="1" applyAlignment="1">
      <alignment horizontal="left"/>
    </xf>
    <xf numFmtId="0" fontId="11" fillId="2" borderId="0" xfId="0" applyFont="1" applyFill="1" applyAlignment="1">
      <alignment horizontal="left"/>
    </xf>
    <xf numFmtId="0" fontId="12" fillId="2" borderId="0" xfId="0" applyFont="1" applyFill="1" applyAlignment="1">
      <alignment horizontal="left"/>
    </xf>
    <xf numFmtId="0" fontId="2" fillId="2" borderId="0" xfId="0" applyFont="1" applyFill="1" applyAlignment="1">
      <alignment wrapText="1"/>
    </xf>
    <xf numFmtId="1" fontId="6" fillId="2" borderId="0" xfId="0" applyNumberFormat="1" applyFont="1" applyFill="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3" fillId="2" borderId="0" xfId="0" applyFont="1" applyFill="1" applyAlignment="1">
      <alignment horizontal="center"/>
    </xf>
    <xf numFmtId="1" fontId="8" fillId="4" borderId="4" xfId="0" applyNumberFormat="1" applyFont="1" applyFill="1" applyBorder="1" applyAlignment="1">
      <alignment horizontal="center" vertical="center"/>
    </xf>
    <xf numFmtId="0" fontId="8" fillId="4" borderId="5" xfId="0" applyFont="1" applyFill="1" applyBorder="1" applyAlignment="1">
      <alignment horizontal="center" vertical="center"/>
    </xf>
    <xf numFmtId="0" fontId="8" fillId="4" borderId="13" xfId="0" applyFont="1" applyFill="1" applyBorder="1" applyAlignment="1">
      <alignment horizontal="center" vertical="center"/>
    </xf>
    <xf numFmtId="0" fontId="8" fillId="4" borderId="6" xfId="0" applyFont="1" applyFill="1" applyBorder="1" applyAlignment="1">
      <alignment horizontal="center" vertical="center"/>
    </xf>
    <xf numFmtId="1" fontId="2" fillId="2" borderId="7" xfId="0" applyNumberFormat="1" applyFont="1" applyFill="1" applyBorder="1" applyAlignment="1">
      <alignment vertical="center"/>
    </xf>
    <xf numFmtId="49" fontId="2" fillId="2" borderId="8" xfId="0" applyNumberFormat="1" applyFont="1" applyFill="1" applyBorder="1" applyAlignment="1">
      <alignment horizontal="left" vertical="center"/>
    </xf>
    <xf numFmtId="0" fontId="14" fillId="2" borderId="8" xfId="1" applyNumberFormat="1" applyFont="1" applyFill="1" applyBorder="1" applyAlignment="1" applyProtection="1">
      <alignment horizontal="left" vertical="center"/>
    </xf>
    <xf numFmtId="0" fontId="2" fillId="2" borderId="9" xfId="0" applyFont="1" applyFill="1" applyBorder="1" applyAlignment="1">
      <alignment horizontal="left" vertical="center"/>
    </xf>
    <xf numFmtId="0" fontId="2" fillId="2" borderId="8" xfId="0" applyFont="1" applyFill="1" applyBorder="1" applyAlignment="1">
      <alignment horizontal="left" vertical="center"/>
    </xf>
    <xf numFmtId="1" fontId="2" fillId="2" borderId="10" xfId="0" applyNumberFormat="1" applyFont="1" applyFill="1" applyBorder="1" applyAlignment="1">
      <alignment vertical="center"/>
    </xf>
    <xf numFmtId="49" fontId="2" fillId="2" borderId="11" xfId="0" applyNumberFormat="1" applyFont="1" applyFill="1" applyBorder="1" applyAlignment="1">
      <alignment horizontal="left" vertical="center"/>
    </xf>
    <xf numFmtId="0" fontId="2" fillId="2" borderId="11" xfId="0" applyFont="1" applyFill="1" applyBorder="1" applyAlignment="1">
      <alignment horizontal="left" vertical="center"/>
    </xf>
    <xf numFmtId="0" fontId="2" fillId="2" borderId="12" xfId="0" applyFont="1" applyFill="1" applyBorder="1" applyAlignment="1">
      <alignment horizontal="left" vertical="center"/>
    </xf>
    <xf numFmtId="0" fontId="16" fillId="2" borderId="14" xfId="0" applyFont="1" applyFill="1" applyBorder="1"/>
    <xf numFmtId="0" fontId="16" fillId="2" borderId="14" xfId="0" applyFont="1" applyFill="1" applyBorder="1" applyAlignment="1">
      <alignment wrapText="1"/>
    </xf>
    <xf numFmtId="0" fontId="2" fillId="2" borderId="14" xfId="0" applyFont="1" applyFill="1" applyBorder="1" applyAlignment="1">
      <alignment wrapText="1"/>
    </xf>
    <xf numFmtId="0" fontId="13" fillId="2" borderId="0" xfId="0" applyFont="1" applyFill="1" applyAlignment="1">
      <alignment wrapText="1"/>
    </xf>
    <xf numFmtId="0" fontId="16" fillId="2" borderId="0" xfId="0" applyFont="1" applyFill="1"/>
    <xf numFmtId="0" fontId="13" fillId="2" borderId="15" xfId="3" applyFont="1" applyFill="1" applyBorder="1" applyAlignment="1">
      <alignment horizontal="left" wrapText="1"/>
    </xf>
    <xf numFmtId="0" fontId="13" fillId="2" borderId="16" xfId="3" applyFont="1" applyFill="1" applyBorder="1" applyAlignment="1">
      <alignment horizontal="left" wrapText="1"/>
    </xf>
    <xf numFmtId="0" fontId="11" fillId="2" borderId="0" xfId="0" applyFont="1" applyFill="1"/>
    <xf numFmtId="0" fontId="11" fillId="2" borderId="16" xfId="0" applyFont="1" applyFill="1" applyBorder="1" applyAlignment="1">
      <alignment horizontal="center" vertical="center"/>
    </xf>
    <xf numFmtId="0" fontId="11" fillId="2" borderId="2"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2" fillId="2" borderId="0" xfId="0" applyFont="1" applyFill="1" applyAlignment="1">
      <alignment horizontal="center" wrapText="1"/>
    </xf>
    <xf numFmtId="0" fontId="16" fillId="2" borderId="17" xfId="0" applyFont="1" applyFill="1" applyBorder="1" applyAlignment="1">
      <alignment horizontal="center" vertical="center"/>
    </xf>
    <xf numFmtId="0" fontId="16" fillId="2" borderId="18" xfId="0" applyFont="1" applyFill="1" applyBorder="1" applyAlignment="1">
      <alignment horizontal="center" vertical="center"/>
    </xf>
    <xf numFmtId="0" fontId="16" fillId="2" borderId="19" xfId="0" applyFont="1" applyFill="1" applyBorder="1" applyAlignment="1">
      <alignment horizontal="center" vertical="center"/>
    </xf>
    <xf numFmtId="0" fontId="16" fillId="2" borderId="0" xfId="0" applyFont="1" applyFill="1" applyAlignment="1">
      <alignment horizontal="center" wrapText="1"/>
    </xf>
    <xf numFmtId="0" fontId="13" fillId="2" borderId="0" xfId="2" applyFont="1" applyFill="1"/>
    <xf numFmtId="0" fontId="2" fillId="2" borderId="0" xfId="2" applyFont="1" applyFill="1"/>
    <xf numFmtId="164" fontId="2" fillId="2" borderId="0" xfId="2" applyNumberFormat="1" applyFont="1" applyFill="1"/>
    <xf numFmtId="0" fontId="6" fillId="2" borderId="3" xfId="0" applyFont="1" applyFill="1" applyBorder="1" applyAlignment="1">
      <alignment horizontal="left"/>
    </xf>
    <xf numFmtId="0" fontId="2" fillId="2" borderId="3" xfId="0" applyFont="1" applyFill="1" applyBorder="1" applyAlignment="1">
      <alignment vertical="top"/>
    </xf>
    <xf numFmtId="0" fontId="6" fillId="2" borderId="2" xfId="0" applyFont="1" applyFill="1" applyBorder="1" applyAlignment="1">
      <alignment vertical="center"/>
    </xf>
    <xf numFmtId="0" fontId="7" fillId="2" borderId="3" xfId="0" applyFont="1" applyFill="1" applyBorder="1" applyAlignment="1">
      <alignment vertical="top"/>
    </xf>
    <xf numFmtId="0" fontId="7" fillId="2" borderId="0" xfId="2" applyFont="1" applyFill="1"/>
    <xf numFmtId="0" fontId="2" fillId="2" borderId="20" xfId="0" applyFont="1" applyFill="1" applyBorder="1"/>
    <xf numFmtId="0" fontId="8" fillId="3" borderId="21" xfId="0" applyFont="1" applyFill="1" applyBorder="1" applyAlignment="1">
      <alignment horizontal="center"/>
    </xf>
    <xf numFmtId="0" fontId="8" fillId="3" borderId="5" xfId="0" applyFont="1" applyFill="1" applyBorder="1" applyAlignment="1">
      <alignment horizontal="center"/>
    </xf>
    <xf numFmtId="0" fontId="8" fillId="3" borderId="5" xfId="0" applyFont="1" applyFill="1" applyBorder="1" applyAlignment="1">
      <alignment horizontal="center" wrapText="1"/>
    </xf>
    <xf numFmtId="0" fontId="8" fillId="3" borderId="13" xfId="0" applyFont="1" applyFill="1" applyBorder="1" applyAlignment="1">
      <alignment horizontal="center"/>
    </xf>
    <xf numFmtId="0" fontId="8" fillId="3" borderId="22" xfId="0" applyFont="1" applyFill="1" applyBorder="1" applyAlignment="1">
      <alignment horizontal="center" wrapText="1"/>
    </xf>
    <xf numFmtId="0" fontId="2" fillId="2" borderId="23" xfId="0" applyFont="1" applyFill="1" applyBorder="1" applyAlignment="1">
      <alignment horizontal="center"/>
    </xf>
    <xf numFmtId="0" fontId="2" fillId="2" borderId="8" xfId="0" applyFont="1" applyFill="1" applyBorder="1"/>
    <xf numFmtId="0" fontId="2" fillId="2" borderId="8" xfId="0" applyFont="1" applyFill="1" applyBorder="1" applyAlignment="1">
      <alignment horizontal="center"/>
    </xf>
    <xf numFmtId="0" fontId="2" fillId="2" borderId="24" xfId="0" applyFont="1" applyFill="1" applyBorder="1" applyAlignment="1">
      <alignment horizontal="center"/>
    </xf>
    <xf numFmtId="0" fontId="17" fillId="3" borderId="25" xfId="0" applyFont="1" applyFill="1" applyBorder="1" applyAlignment="1">
      <alignment horizontal="center"/>
    </xf>
    <xf numFmtId="0" fontId="8" fillId="3" borderId="11" xfId="0" applyFont="1" applyFill="1" applyBorder="1"/>
    <xf numFmtId="0" fontId="17" fillId="3" borderId="11" xfId="0" applyFont="1" applyFill="1" applyBorder="1" applyAlignment="1">
      <alignment horizontal="center"/>
    </xf>
    <xf numFmtId="0" fontId="17" fillId="3" borderId="26" xfId="0" applyFont="1" applyFill="1" applyBorder="1" applyAlignment="1">
      <alignment horizontal="center"/>
    </xf>
    <xf numFmtId="0" fontId="2" fillId="2" borderId="0" xfId="0" applyFont="1" applyFill="1" applyAlignment="1">
      <alignment horizontal="center"/>
    </xf>
    <xf numFmtId="10" fontId="2" fillId="2" borderId="0" xfId="0" applyNumberFormat="1" applyFont="1" applyFill="1" applyAlignment="1">
      <alignment horizontal="center"/>
    </xf>
    <xf numFmtId="9" fontId="2" fillId="2" borderId="0" xfId="0" applyNumberFormat="1" applyFont="1" applyFill="1" applyAlignment="1">
      <alignment horizontal="center"/>
    </xf>
    <xf numFmtId="0" fontId="6" fillId="2" borderId="0" xfId="0" applyFont="1" applyFill="1" applyAlignment="1">
      <alignment horizontal="left"/>
    </xf>
    <xf numFmtId="2" fontId="18" fillId="2" borderId="0" xfId="0" applyNumberFormat="1" applyFont="1" applyFill="1" applyAlignment="1">
      <alignment horizontal="right" wrapText="1"/>
    </xf>
    <xf numFmtId="0" fontId="15"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5" fillId="2" borderId="8" xfId="1" applyNumberFormat="1" applyFill="1" applyBorder="1" applyAlignment="1" applyProtection="1">
      <alignment horizontal="left" vertical="center"/>
    </xf>
    <xf numFmtId="0" fontId="0" fillId="0" borderId="30" xfId="0" applyBorder="1" applyAlignment="1">
      <alignment horizontal="center" vertical="center" wrapText="1"/>
    </xf>
    <xf numFmtId="0" fontId="0" fillId="0" borderId="30" xfId="0" applyBorder="1" applyAlignment="1">
      <alignment horizontal="left" vertical="center" wrapText="1"/>
    </xf>
    <xf numFmtId="0" fontId="0" fillId="0" borderId="30" xfId="0" applyBorder="1" applyAlignment="1">
      <alignment vertical="center" wrapText="1"/>
    </xf>
    <xf numFmtId="0" fontId="8" fillId="3" borderId="30" xfId="3" applyFont="1" applyFill="1" applyBorder="1" applyAlignment="1">
      <alignment horizontal="center" vertical="center" wrapText="1"/>
    </xf>
    <xf numFmtId="0" fontId="0" fillId="0" borderId="30" xfId="0" applyBorder="1" applyAlignment="1">
      <alignment horizontal="center" vertical="center"/>
    </xf>
    <xf numFmtId="0" fontId="2" fillId="2" borderId="30" xfId="0" applyFont="1" applyFill="1" applyBorder="1" applyAlignment="1">
      <alignment horizontal="left" vertical="center"/>
    </xf>
    <xf numFmtId="0" fontId="2" fillId="2" borderId="30" xfId="0" applyFont="1" applyFill="1" applyBorder="1" applyAlignment="1">
      <alignment horizontal="center" vertical="center"/>
    </xf>
    <xf numFmtId="0" fontId="8" fillId="3" borderId="30" xfId="3" applyFont="1" applyFill="1" applyBorder="1" applyAlignment="1">
      <alignment horizontal="center" vertical="center"/>
    </xf>
    <xf numFmtId="0" fontId="0" fillId="0" borderId="30" xfId="0" applyBorder="1"/>
    <xf numFmtId="0" fontId="0" fillId="0" borderId="30" xfId="0" applyBorder="1" applyAlignment="1">
      <alignment vertical="center"/>
    </xf>
    <xf numFmtId="0" fontId="8" fillId="3" borderId="30" xfId="3" applyFont="1" applyFill="1" applyBorder="1" applyAlignment="1">
      <alignment horizontal="left" vertical="center" wrapText="1"/>
    </xf>
    <xf numFmtId="0" fontId="21" fillId="0" borderId="30" xfId="0" applyFont="1" applyBorder="1" applyAlignment="1">
      <alignment horizontal="left" vertical="center"/>
    </xf>
    <xf numFmtId="0" fontId="22" fillId="5" borderId="30" xfId="0" applyFont="1" applyFill="1" applyBorder="1"/>
    <xf numFmtId="0" fontId="22" fillId="0" borderId="30" xfId="0" applyFont="1" applyBorder="1"/>
    <xf numFmtId="0" fontId="22" fillId="0" borderId="30" xfId="0" applyFont="1" applyBorder="1" applyAlignment="1">
      <alignment wrapText="1"/>
    </xf>
    <xf numFmtId="0" fontId="22" fillId="5" borderId="30" xfId="0" applyFont="1" applyFill="1" applyBorder="1" applyAlignment="1">
      <alignment horizontal="center" vertical="center"/>
    </xf>
    <xf numFmtId="0" fontId="2" fillId="2" borderId="31" xfId="0" applyFont="1" applyFill="1" applyBorder="1" applyAlignment="1">
      <alignment horizontal="center"/>
    </xf>
    <xf numFmtId="0" fontId="2" fillId="2" borderId="32" xfId="0" applyFont="1" applyFill="1" applyBorder="1" applyAlignment="1">
      <alignment horizontal="center"/>
    </xf>
    <xf numFmtId="0" fontId="2" fillId="2" borderId="30" xfId="0" applyFont="1" applyFill="1" applyBorder="1" applyAlignment="1">
      <alignment horizontal="center"/>
    </xf>
    <xf numFmtId="0" fontId="5" fillId="0" borderId="2" xfId="0" applyFont="1" applyBorder="1" applyAlignment="1">
      <alignment horizontal="center" vertical="center"/>
    </xf>
    <xf numFmtId="0" fontId="7" fillId="0" borderId="2" xfId="0" applyFont="1" applyBorder="1" applyAlignment="1">
      <alignment horizontal="left"/>
    </xf>
    <xf numFmtId="0" fontId="6" fillId="2" borderId="2" xfId="0" applyFont="1" applyFill="1" applyBorder="1" applyAlignment="1">
      <alignment horizontal="left" vertical="center"/>
    </xf>
    <xf numFmtId="0" fontId="7" fillId="0" borderId="2" xfId="0" applyFont="1" applyBorder="1" applyAlignment="1">
      <alignment horizontal="left" vertical="center"/>
    </xf>
    <xf numFmtId="1" fontId="6" fillId="2" borderId="2" xfId="0" applyNumberFormat="1" applyFont="1" applyFill="1" applyBorder="1" applyAlignment="1">
      <alignment vertical="center" wrapText="1"/>
    </xf>
    <xf numFmtId="0" fontId="7" fillId="2" borderId="2" xfId="0" applyFont="1" applyFill="1" applyBorder="1" applyAlignment="1">
      <alignment vertical="top" wrapText="1"/>
    </xf>
    <xf numFmtId="1" fontId="6" fillId="2" borderId="1" xfId="0" applyNumberFormat="1" applyFont="1" applyFill="1" applyBorder="1"/>
    <xf numFmtId="0" fontId="7" fillId="2" borderId="2" xfId="0" applyFont="1" applyFill="1" applyBorder="1" applyAlignment="1">
      <alignment horizontal="left"/>
    </xf>
    <xf numFmtId="0" fontId="16" fillId="2" borderId="27" xfId="0" applyFont="1" applyFill="1" applyBorder="1" applyAlignment="1">
      <alignment horizontal="center" vertical="center" wrapText="1"/>
    </xf>
    <xf numFmtId="0" fontId="7" fillId="2" borderId="28" xfId="3" applyFont="1" applyFill="1" applyBorder="1" applyAlignment="1">
      <alignment horizontal="left" wrapText="1"/>
    </xf>
    <xf numFmtId="0" fontId="7" fillId="2" borderId="29" xfId="3" applyFont="1" applyFill="1" applyBorder="1" applyAlignment="1">
      <alignment horizontal="left" wrapText="1"/>
    </xf>
    <xf numFmtId="0" fontId="11" fillId="2" borderId="28" xfId="0" applyFont="1" applyFill="1" applyBorder="1" applyAlignment="1">
      <alignment horizontal="center" vertical="center" wrapText="1"/>
    </xf>
    <xf numFmtId="0" fontId="22" fillId="0" borderId="30" xfId="0" applyFont="1" applyBorder="1" applyAlignment="1">
      <alignment horizontal="center" vertical="center"/>
    </xf>
    <xf numFmtId="0" fontId="6" fillId="2" borderId="2" xfId="0" applyFont="1" applyFill="1" applyBorder="1" applyAlignment="1">
      <alignment horizontal="left"/>
    </xf>
    <xf numFmtId="0" fontId="7" fillId="2" borderId="2" xfId="2" applyFont="1" applyFill="1" applyBorder="1" applyAlignment="1">
      <alignment vertical="top"/>
    </xf>
    <xf numFmtId="0" fontId="5" fillId="2" borderId="0" xfId="2" applyFont="1" applyFill="1" applyAlignment="1">
      <alignment horizontal="center"/>
    </xf>
    <xf numFmtId="0" fontId="22" fillId="0" borderId="30" xfId="0" applyFont="1" applyBorder="1" applyAlignment="1">
      <alignment vertical="center"/>
    </xf>
    <xf numFmtId="0" fontId="22" fillId="0" borderId="30" xfId="0" applyFont="1" applyBorder="1" applyAlignment="1">
      <alignment vertical="center" wrapText="1"/>
    </xf>
    <xf numFmtId="0" fontId="22" fillId="0" borderId="33" xfId="0" applyFont="1" applyBorder="1" applyAlignment="1">
      <alignment horizontal="center" wrapText="1"/>
    </xf>
    <xf numFmtId="0" fontId="22" fillId="0" borderId="34" xfId="0" applyFont="1" applyBorder="1" applyAlignment="1">
      <alignment horizontal="center" wrapText="1"/>
    </xf>
    <xf numFmtId="0" fontId="22" fillId="0" borderId="35" xfId="0" applyFont="1" applyBorder="1" applyAlignment="1">
      <alignment horizontal="center" wrapText="1"/>
    </xf>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21" t="s">
        <v>0</v>
      </c>
      <c r="D2" s="121"/>
      <c r="E2" s="121"/>
      <c r="F2" s="121"/>
      <c r="G2" s="121"/>
    </row>
    <row r="3" spans="1:7">
      <c r="B3" s="6"/>
      <c r="C3" s="7"/>
      <c r="F3" s="8"/>
    </row>
    <row r="4" spans="1:7" ht="14.25" customHeight="1">
      <c r="B4" s="9" t="s">
        <v>1</v>
      </c>
      <c r="C4" s="122" t="s">
        <v>2</v>
      </c>
      <c r="D4" s="122"/>
      <c r="E4" s="122"/>
      <c r="F4" s="9" t="s">
        <v>3</v>
      </c>
      <c r="G4" s="10"/>
    </row>
    <row r="5" spans="1:7" ht="14.25" customHeight="1">
      <c r="B5" s="9" t="s">
        <v>4</v>
      </c>
      <c r="C5" s="122" t="s">
        <v>5</v>
      </c>
      <c r="D5" s="122"/>
      <c r="E5" s="122"/>
      <c r="F5" s="9" t="s">
        <v>6</v>
      </c>
      <c r="G5" s="10"/>
    </row>
    <row r="6" spans="1:7" ht="15.75" customHeight="1">
      <c r="B6" s="123" t="s">
        <v>7</v>
      </c>
      <c r="C6" s="124" t="str">
        <f>C5&amp;"_"&amp;"XXX"&amp;"_"&amp;"vx.x"</f>
        <v>&lt;Project Code&gt;_XXX_vx.x</v>
      </c>
      <c r="D6" s="124"/>
      <c r="E6" s="124"/>
      <c r="F6" s="9" t="s">
        <v>8</v>
      </c>
      <c r="G6" s="12"/>
    </row>
    <row r="7" spans="1:7" ht="13.5" customHeight="1">
      <c r="B7" s="123"/>
      <c r="C7" s="124"/>
      <c r="D7" s="124"/>
      <c r="E7" s="124"/>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D11" sqref="D11"/>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27" t="s">
        <v>1</v>
      </c>
      <c r="C3" s="127"/>
      <c r="D3" s="128" t="str">
        <f>Cover!C4</f>
        <v>&lt;Project Name&gt;</v>
      </c>
      <c r="E3" s="128"/>
      <c r="F3" s="128"/>
    </row>
    <row r="4" spans="2:6">
      <c r="B4" s="127" t="s">
        <v>4</v>
      </c>
      <c r="C4" s="127"/>
      <c r="D4" s="128" t="str">
        <f>Cover!C5</f>
        <v>&lt;Project Code&gt;</v>
      </c>
      <c r="E4" s="128"/>
      <c r="F4" s="128"/>
    </row>
    <row r="5" spans="2:6" s="38" customFormat="1" ht="84.75" customHeight="1">
      <c r="B5" s="125" t="s">
        <v>18</v>
      </c>
      <c r="C5" s="125"/>
      <c r="D5" s="126" t="s">
        <v>19</v>
      </c>
      <c r="E5" s="126"/>
      <c r="F5" s="126"/>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c r="B9" s="48">
        <v>1</v>
      </c>
      <c r="C9" s="49" t="s">
        <v>68</v>
      </c>
      <c r="D9" s="50" t="s">
        <v>25</v>
      </c>
      <c r="E9" s="50"/>
      <c r="F9" s="51"/>
    </row>
    <row r="10" spans="2:6" ht="14">
      <c r="B10" s="48">
        <v>2</v>
      </c>
      <c r="C10" s="49" t="s">
        <v>69</v>
      </c>
      <c r="D10" s="100" t="s">
        <v>26</v>
      </c>
      <c r="E10" s="50"/>
      <c r="F10" s="51"/>
    </row>
    <row r="11" spans="2:6" ht="14">
      <c r="B11" s="48"/>
      <c r="C11" s="49"/>
      <c r="D11" s="101" t="s">
        <v>166</v>
      </c>
      <c r="E11" s="50"/>
      <c r="F11" s="51"/>
    </row>
    <row r="12" spans="2:6">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K14"/>
  <sheetViews>
    <sheetView zoomScale="110" zoomScaleNormal="110" workbookViewId="0">
      <pane ySplit="8" topLeftCell="A9" activePane="bottomLeft" state="frozen"/>
      <selection pane="bottomLeft" activeCell="F10" sqref="F10"/>
    </sheetView>
  </sheetViews>
  <sheetFormatPr baseColWidth="10" defaultColWidth="9" defaultRowHeight="13"/>
  <cols>
    <col min="1" max="1" width="14.33203125" style="8" customWidth="1"/>
    <col min="2" max="2" width="30" style="8" customWidth="1"/>
    <col min="3" max="3" width="26.83203125" style="8" customWidth="1"/>
    <col min="4" max="4" width="28.5" style="8" customWidth="1"/>
    <col min="5" max="5" width="23" style="8" customWidth="1"/>
    <col min="6" max="6" width="12.6640625" style="8" customWidth="1"/>
    <col min="7" max="7" width="14.83203125" style="8" customWidth="1"/>
    <col min="8" max="8" width="19.33203125" style="8" customWidth="1"/>
    <col min="9" max="9" width="0" style="8" hidden="1" customWidth="1"/>
    <col min="10" max="10" width="20.5" style="8" customWidth="1"/>
    <col min="11" max="11" width="19.5" style="8" customWidth="1"/>
    <col min="12" max="16384" width="9" style="8"/>
  </cols>
  <sheetData>
    <row r="1" spans="1:11" s="61" customFormat="1">
      <c r="A1" s="57"/>
      <c r="B1" s="58"/>
      <c r="C1" s="58"/>
      <c r="D1" s="58"/>
      <c r="E1" s="58"/>
      <c r="F1" s="59"/>
      <c r="G1" s="60"/>
      <c r="H1" s="38"/>
    </row>
    <row r="2" spans="1:11" s="61" customFormat="1" ht="15" customHeight="1">
      <c r="A2" s="62" t="s">
        <v>27</v>
      </c>
      <c r="B2" s="130" t="s">
        <v>28</v>
      </c>
      <c r="C2" s="130"/>
      <c r="D2" s="130"/>
      <c r="E2" s="130"/>
      <c r="F2" s="130"/>
      <c r="G2" s="38"/>
      <c r="H2" s="38"/>
      <c r="I2" s="61" t="s">
        <v>29</v>
      </c>
    </row>
    <row r="3" spans="1:11" s="61" customFormat="1" ht="25.5" customHeight="1">
      <c r="A3" s="63" t="s">
        <v>30</v>
      </c>
      <c r="B3" s="130" t="s">
        <v>31</v>
      </c>
      <c r="C3" s="130"/>
      <c r="D3" s="130"/>
      <c r="E3" s="130"/>
      <c r="F3" s="130"/>
      <c r="G3" s="38"/>
      <c r="H3" s="38"/>
      <c r="I3" s="61" t="s">
        <v>32</v>
      </c>
    </row>
    <row r="4" spans="1:11" s="61" customFormat="1" ht="18" customHeight="1">
      <c r="A4" s="62" t="s">
        <v>33</v>
      </c>
      <c r="B4" s="131"/>
      <c r="C4" s="131"/>
      <c r="D4" s="131"/>
      <c r="E4" s="131"/>
      <c r="F4" s="131"/>
      <c r="G4" s="38"/>
      <c r="H4" s="38"/>
      <c r="I4" s="64"/>
    </row>
    <row r="5" spans="1:11" s="61" customFormat="1" ht="19.5" customHeight="1">
      <c r="A5" s="65" t="s">
        <v>29</v>
      </c>
      <c r="B5" s="66" t="s">
        <v>32</v>
      </c>
      <c r="C5" s="66" t="s">
        <v>34</v>
      </c>
      <c r="D5" s="67" t="s">
        <v>35</v>
      </c>
      <c r="E5" s="132" t="s">
        <v>36</v>
      </c>
      <c r="F5" s="132"/>
      <c r="G5" s="68"/>
      <c r="H5" s="68"/>
      <c r="I5" s="61" t="s">
        <v>37</v>
      </c>
    </row>
    <row r="6" spans="1:11" s="61" customFormat="1" ht="15" customHeight="1">
      <c r="A6" s="69">
        <f>COUNTIF(G9:G991,"Pass")</f>
        <v>6</v>
      </c>
      <c r="B6" s="70">
        <f>COUNTIF(G9:G991,"Fail")</f>
        <v>0</v>
      </c>
      <c r="C6" s="70">
        <f>E6-D6-B6-A6</f>
        <v>0</v>
      </c>
      <c r="D6" s="71">
        <f>COUNTIF(G$9:G$991,"N/A")</f>
        <v>0</v>
      </c>
      <c r="E6" s="129">
        <v>6</v>
      </c>
      <c r="F6" s="129"/>
      <c r="G6" s="68"/>
      <c r="H6" s="68"/>
      <c r="I6" s="61" t="s">
        <v>35</v>
      </c>
    </row>
    <row r="7" spans="1:11" s="61" customFormat="1" ht="15" customHeight="1">
      <c r="D7" s="72"/>
      <c r="E7" s="72"/>
      <c r="F7" s="68"/>
      <c r="G7" s="68"/>
      <c r="H7" s="68"/>
    </row>
    <row r="8" spans="1:11" s="61" customFormat="1" ht="25.5" customHeight="1">
      <c r="A8" s="105" t="s">
        <v>38</v>
      </c>
      <c r="B8" s="105" t="s">
        <v>39</v>
      </c>
      <c r="C8" s="105" t="s">
        <v>114</v>
      </c>
      <c r="D8" s="105" t="s">
        <v>40</v>
      </c>
      <c r="E8" s="105" t="s">
        <v>41</v>
      </c>
      <c r="F8" s="105" t="s">
        <v>56</v>
      </c>
      <c r="G8" s="109" t="s">
        <v>42</v>
      </c>
      <c r="H8" s="105" t="s">
        <v>56</v>
      </c>
      <c r="I8" s="105" t="s">
        <v>56</v>
      </c>
      <c r="J8" s="112" t="s">
        <v>128</v>
      </c>
      <c r="K8" s="105" t="s">
        <v>23</v>
      </c>
    </row>
    <row r="9" spans="1:11" ht="114" customHeight="1">
      <c r="A9" s="102" t="s">
        <v>90</v>
      </c>
      <c r="B9" s="104" t="s">
        <v>70</v>
      </c>
      <c r="C9" s="103" t="s">
        <v>71</v>
      </c>
      <c r="D9" s="103" t="s">
        <v>136</v>
      </c>
      <c r="E9" s="103" t="s">
        <v>72</v>
      </c>
      <c r="F9" s="102" t="s">
        <v>122</v>
      </c>
      <c r="G9" s="102" t="s">
        <v>29</v>
      </c>
      <c r="H9" s="102" t="s">
        <v>127</v>
      </c>
      <c r="I9" s="103" t="s">
        <v>73</v>
      </c>
      <c r="J9" s="113" t="s">
        <v>73</v>
      </c>
      <c r="K9" s="113"/>
    </row>
    <row r="10" spans="1:11" ht="114" customHeight="1">
      <c r="A10" s="102" t="s">
        <v>91</v>
      </c>
      <c r="B10" s="104" t="s">
        <v>74</v>
      </c>
      <c r="C10" s="103" t="s">
        <v>75</v>
      </c>
      <c r="D10" s="103" t="s">
        <v>136</v>
      </c>
      <c r="E10" s="103" t="s">
        <v>72</v>
      </c>
      <c r="F10" s="102" t="s">
        <v>123</v>
      </c>
      <c r="G10" s="102" t="s">
        <v>29</v>
      </c>
      <c r="H10" s="102" t="s">
        <v>127</v>
      </c>
      <c r="I10" s="103" t="s">
        <v>76</v>
      </c>
      <c r="J10" s="113" t="s">
        <v>76</v>
      </c>
      <c r="K10" s="113"/>
    </row>
    <row r="11" spans="1:11" ht="78" customHeight="1">
      <c r="A11" s="102" t="s">
        <v>93</v>
      </c>
      <c r="B11" s="104" t="s">
        <v>77</v>
      </c>
      <c r="C11" s="103" t="s">
        <v>78</v>
      </c>
      <c r="D11" s="103" t="s">
        <v>138</v>
      </c>
      <c r="E11" s="103" t="s">
        <v>79</v>
      </c>
      <c r="F11" s="102" t="s">
        <v>124</v>
      </c>
      <c r="G11" s="102" t="s">
        <v>29</v>
      </c>
      <c r="H11" s="102" t="s">
        <v>127</v>
      </c>
      <c r="I11" s="103" t="s">
        <v>80</v>
      </c>
      <c r="J11" s="113" t="s">
        <v>167</v>
      </c>
      <c r="K11" s="113"/>
    </row>
    <row r="12" spans="1:11" ht="89" customHeight="1">
      <c r="A12" s="102" t="s">
        <v>94</v>
      </c>
      <c r="B12" s="104" t="s">
        <v>81</v>
      </c>
      <c r="C12" s="103" t="s">
        <v>82</v>
      </c>
      <c r="D12" s="103" t="s">
        <v>139</v>
      </c>
      <c r="E12" s="103" t="s">
        <v>83</v>
      </c>
      <c r="F12" s="102" t="s">
        <v>125</v>
      </c>
      <c r="G12" s="102" t="s">
        <v>29</v>
      </c>
      <c r="H12" s="102" t="s">
        <v>127</v>
      </c>
      <c r="I12" s="103" t="s">
        <v>80</v>
      </c>
      <c r="J12" s="113" t="s">
        <v>167</v>
      </c>
      <c r="K12" s="113"/>
    </row>
    <row r="13" spans="1:11" ht="103" customHeight="1">
      <c r="A13" s="102" t="s">
        <v>95</v>
      </c>
      <c r="B13" s="104" t="s">
        <v>84</v>
      </c>
      <c r="C13" s="103" t="s">
        <v>85</v>
      </c>
      <c r="D13" s="103" t="s">
        <v>140</v>
      </c>
      <c r="E13" s="103" t="s">
        <v>86</v>
      </c>
      <c r="F13" s="102" t="s">
        <v>126</v>
      </c>
      <c r="G13" s="102" t="s">
        <v>29</v>
      </c>
      <c r="H13" s="102" t="s">
        <v>127</v>
      </c>
      <c r="I13" s="103" t="s">
        <v>80</v>
      </c>
      <c r="J13" s="113" t="s">
        <v>167</v>
      </c>
      <c r="K13" s="113"/>
    </row>
    <row r="14" spans="1:11" ht="124" customHeight="1">
      <c r="A14" s="102" t="s">
        <v>96</v>
      </c>
      <c r="B14" s="104" t="s">
        <v>87</v>
      </c>
      <c r="C14" s="103" t="s">
        <v>88</v>
      </c>
      <c r="D14" s="103" t="s">
        <v>137</v>
      </c>
      <c r="E14" s="103" t="s">
        <v>89</v>
      </c>
      <c r="F14" s="102" t="s">
        <v>129</v>
      </c>
      <c r="G14" s="102" t="s">
        <v>29</v>
      </c>
      <c r="H14" s="102" t="s">
        <v>127</v>
      </c>
      <c r="I14" s="103" t="s">
        <v>80</v>
      </c>
      <c r="J14" s="113" t="s">
        <v>167</v>
      </c>
      <c r="K14" s="113"/>
    </row>
  </sheetData>
  <mergeCells count="5">
    <mergeCell ref="E6:F6"/>
    <mergeCell ref="B2:F2"/>
    <mergeCell ref="B3:F3"/>
    <mergeCell ref="B4:F4"/>
    <mergeCell ref="E5:F5"/>
  </mergeCells>
  <phoneticPr fontId="0" type="noConversion"/>
  <dataValidations count="1">
    <dataValidation type="list" allowBlank="1" showErrorMessage="1" sqref="F1:F3 F7 F15:F138 G8" xr:uid="{0926D9D0-1AE7-204E-AFDC-71D73AD07237}">
      <formula1>$I$2:$I$6</formula1>
      <formula2>0</formula2>
    </dataValidation>
  </dataValidation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163C4-5C5E-D449-BB67-F443A6D227A8}">
  <dimension ref="A1:K14"/>
  <sheetViews>
    <sheetView zoomScale="116" zoomScaleNormal="150" workbookViewId="0">
      <pane ySplit="8" topLeftCell="A9" activePane="bottomLeft" state="frozen"/>
      <selection pane="bottomLeft" activeCell="E14" sqref="E14"/>
    </sheetView>
  </sheetViews>
  <sheetFormatPr baseColWidth="10" defaultColWidth="9" defaultRowHeight="13"/>
  <cols>
    <col min="1" max="1" width="14.33203125" style="8" customWidth="1"/>
    <col min="2" max="2" width="40.6640625" style="8" customWidth="1"/>
    <col min="3" max="3" width="19.1640625" style="8" customWidth="1"/>
    <col min="4" max="5" width="36" style="8" customWidth="1"/>
    <col min="6" max="6" width="12.6640625" style="8" customWidth="1"/>
    <col min="7" max="7" width="14.83203125" style="8" customWidth="1"/>
    <col min="8" max="8" width="17.33203125" style="8" customWidth="1"/>
    <col min="9" max="9" width="0" style="8" hidden="1" customWidth="1"/>
    <col min="10" max="10" width="22" style="8" customWidth="1"/>
    <col min="11" max="11" width="15.1640625" style="8" customWidth="1"/>
    <col min="12" max="16384" width="9" style="8"/>
  </cols>
  <sheetData>
    <row r="1" spans="1:11" s="61" customFormat="1" ht="14" thickBot="1">
      <c r="A1" s="57"/>
      <c r="B1" s="58"/>
      <c r="C1" s="58"/>
      <c r="D1" s="58"/>
      <c r="E1" s="58"/>
      <c r="F1" s="59"/>
      <c r="G1" s="60"/>
      <c r="H1" s="38"/>
      <c r="J1" s="38"/>
    </row>
    <row r="2" spans="1:11" s="61" customFormat="1" ht="15" customHeight="1">
      <c r="A2" s="62" t="s">
        <v>27</v>
      </c>
      <c r="B2" s="130" t="s">
        <v>28</v>
      </c>
      <c r="C2" s="130"/>
      <c r="D2" s="130"/>
      <c r="E2" s="130"/>
      <c r="F2" s="130"/>
      <c r="G2" s="38"/>
      <c r="H2" s="38"/>
      <c r="I2" s="61" t="s">
        <v>29</v>
      </c>
      <c r="J2" s="38"/>
    </row>
    <row r="3" spans="1:11" s="61" customFormat="1" ht="25.5" customHeight="1">
      <c r="A3" s="63" t="s">
        <v>30</v>
      </c>
      <c r="B3" s="130" t="s">
        <v>31</v>
      </c>
      <c r="C3" s="130"/>
      <c r="D3" s="130"/>
      <c r="E3" s="130"/>
      <c r="F3" s="130"/>
      <c r="G3" s="38"/>
      <c r="H3" s="38"/>
      <c r="I3" s="61" t="s">
        <v>32</v>
      </c>
      <c r="J3" s="38"/>
    </row>
    <row r="4" spans="1:11" s="61" customFormat="1" ht="18" customHeight="1">
      <c r="A4" s="62" t="s">
        <v>33</v>
      </c>
      <c r="B4" s="131"/>
      <c r="C4" s="131"/>
      <c r="D4" s="131"/>
      <c r="E4" s="131"/>
      <c r="F4" s="131"/>
      <c r="G4" s="38"/>
      <c r="H4" s="38"/>
      <c r="I4" s="64"/>
      <c r="J4" s="38"/>
    </row>
    <row r="5" spans="1:11" s="61" customFormat="1" ht="19.5" customHeight="1">
      <c r="A5" s="65" t="s">
        <v>29</v>
      </c>
      <c r="B5" s="66" t="s">
        <v>32</v>
      </c>
      <c r="C5" s="66" t="s">
        <v>34</v>
      </c>
      <c r="D5" s="67" t="s">
        <v>35</v>
      </c>
      <c r="E5" s="132" t="s">
        <v>36</v>
      </c>
      <c r="F5" s="132"/>
      <c r="G5" s="68"/>
      <c r="H5" s="68"/>
      <c r="I5" s="61" t="s">
        <v>37</v>
      </c>
      <c r="J5" s="68"/>
    </row>
    <row r="6" spans="1:11" s="61" customFormat="1" ht="15" customHeight="1" thickBot="1">
      <c r="A6" s="69">
        <f>COUNTIF(G9:G991,"Pass")</f>
        <v>6</v>
      </c>
      <c r="B6" s="70">
        <f>COUNTIF(G9:G991,"Fail")</f>
        <v>0</v>
      </c>
      <c r="C6" s="70">
        <f>E6-D6-B6-A6</f>
        <v>0</v>
      </c>
      <c r="D6" s="71">
        <f>COUNTIF(G$9:G$991,"N/A")</f>
        <v>0</v>
      </c>
      <c r="E6" s="129">
        <f>ROWS(A9:A14)</f>
        <v>6</v>
      </c>
      <c r="F6" s="129"/>
      <c r="G6" s="68"/>
      <c r="H6" s="68"/>
      <c r="I6" s="61" t="s">
        <v>35</v>
      </c>
      <c r="J6" s="68"/>
    </row>
    <row r="7" spans="1:11" s="61" customFormat="1" ht="15" customHeight="1">
      <c r="D7" s="72"/>
      <c r="E7" s="72"/>
      <c r="F7" s="68"/>
      <c r="G7" s="68"/>
      <c r="H7" s="68"/>
      <c r="J7" s="68"/>
    </row>
    <row r="8" spans="1:11" s="61" customFormat="1" ht="25.5" customHeight="1">
      <c r="A8" s="105" t="s">
        <v>38</v>
      </c>
      <c r="B8" s="105" t="s">
        <v>39</v>
      </c>
      <c r="C8" s="105" t="s">
        <v>113</v>
      </c>
      <c r="D8" s="105" t="s">
        <v>40</v>
      </c>
      <c r="E8" s="105" t="s">
        <v>41</v>
      </c>
      <c r="F8" s="105" t="s">
        <v>56</v>
      </c>
      <c r="G8" s="109" t="s">
        <v>42</v>
      </c>
      <c r="H8" s="105" t="s">
        <v>54</v>
      </c>
      <c r="I8" s="105" t="s">
        <v>55</v>
      </c>
      <c r="J8" s="105" t="s">
        <v>115</v>
      </c>
      <c r="K8" s="105" t="s">
        <v>23</v>
      </c>
    </row>
    <row r="9" spans="1:11" ht="63" customHeight="1">
      <c r="A9" s="106" t="s">
        <v>107</v>
      </c>
      <c r="B9" s="111" t="s">
        <v>117</v>
      </c>
      <c r="C9" s="111" t="s">
        <v>97</v>
      </c>
      <c r="D9" s="104" t="s">
        <v>118</v>
      </c>
      <c r="E9" s="111" t="s">
        <v>72</v>
      </c>
      <c r="F9" s="106" t="s">
        <v>130</v>
      </c>
      <c r="G9" s="106" t="s">
        <v>29</v>
      </c>
      <c r="H9" s="108" t="s">
        <v>127</v>
      </c>
      <c r="I9" s="110"/>
      <c r="J9" s="107" t="s">
        <v>98</v>
      </c>
      <c r="K9" s="107"/>
    </row>
    <row r="10" spans="1:11" ht="52" customHeight="1">
      <c r="A10" s="106" t="s">
        <v>108</v>
      </c>
      <c r="B10" s="111" t="s">
        <v>99</v>
      </c>
      <c r="C10" s="111" t="s">
        <v>100</v>
      </c>
      <c r="D10" s="104" t="s">
        <v>118</v>
      </c>
      <c r="E10" s="111" t="s">
        <v>72</v>
      </c>
      <c r="F10" s="106" t="s">
        <v>131</v>
      </c>
      <c r="G10" s="106" t="s">
        <v>29</v>
      </c>
      <c r="H10" s="108" t="s">
        <v>127</v>
      </c>
      <c r="I10" s="110"/>
      <c r="J10" s="107" t="s">
        <v>101</v>
      </c>
      <c r="K10" s="107"/>
    </row>
    <row r="11" spans="1:11" ht="80" customHeight="1">
      <c r="A11" s="106" t="s">
        <v>109</v>
      </c>
      <c r="B11" s="111" t="s">
        <v>102</v>
      </c>
      <c r="C11" s="111" t="s">
        <v>78</v>
      </c>
      <c r="D11" s="104" t="s">
        <v>116</v>
      </c>
      <c r="E11" s="111" t="s">
        <v>79</v>
      </c>
      <c r="F11" s="106" t="s">
        <v>132</v>
      </c>
      <c r="G11" s="106" t="s">
        <v>29</v>
      </c>
      <c r="H11" s="108" t="s">
        <v>127</v>
      </c>
      <c r="I11" s="110"/>
      <c r="J11" s="107" t="s">
        <v>103</v>
      </c>
      <c r="K11" s="107"/>
    </row>
    <row r="12" spans="1:11" ht="76" customHeight="1">
      <c r="A12" s="106" t="s">
        <v>110</v>
      </c>
      <c r="B12" s="111" t="s">
        <v>104</v>
      </c>
      <c r="C12" s="111" t="s">
        <v>82</v>
      </c>
      <c r="D12" s="104" t="s">
        <v>119</v>
      </c>
      <c r="E12" s="111" t="s">
        <v>83</v>
      </c>
      <c r="F12" s="106" t="s">
        <v>133</v>
      </c>
      <c r="G12" s="106" t="s">
        <v>29</v>
      </c>
      <c r="H12" s="108" t="s">
        <v>127</v>
      </c>
      <c r="I12" s="110"/>
      <c r="J12" s="107" t="s">
        <v>103</v>
      </c>
      <c r="K12" s="107"/>
    </row>
    <row r="13" spans="1:11" ht="94" customHeight="1">
      <c r="A13" s="106" t="s">
        <v>111</v>
      </c>
      <c r="B13" s="111" t="s">
        <v>105</v>
      </c>
      <c r="C13" s="111" t="s">
        <v>85</v>
      </c>
      <c r="D13" s="104" t="s">
        <v>120</v>
      </c>
      <c r="E13" s="111" t="s">
        <v>86</v>
      </c>
      <c r="F13" s="106" t="s">
        <v>134</v>
      </c>
      <c r="G13" s="106" t="s">
        <v>29</v>
      </c>
      <c r="H13" s="108" t="s">
        <v>127</v>
      </c>
      <c r="I13" s="110"/>
      <c r="J13" s="107" t="s">
        <v>103</v>
      </c>
      <c r="K13" s="107"/>
    </row>
    <row r="14" spans="1:11" ht="43" customHeight="1">
      <c r="A14" s="106" t="s">
        <v>112</v>
      </c>
      <c r="B14" s="111" t="s">
        <v>106</v>
      </c>
      <c r="C14" s="111" t="s">
        <v>88</v>
      </c>
      <c r="D14" s="104" t="s">
        <v>121</v>
      </c>
      <c r="E14" s="111" t="s">
        <v>89</v>
      </c>
      <c r="F14" s="106" t="s">
        <v>135</v>
      </c>
      <c r="G14" s="106" t="s">
        <v>29</v>
      </c>
      <c r="H14" s="108" t="s">
        <v>127</v>
      </c>
      <c r="I14" s="110"/>
      <c r="J14" s="107" t="s">
        <v>103</v>
      </c>
      <c r="K14" s="107"/>
    </row>
  </sheetData>
  <mergeCells count="5">
    <mergeCell ref="B2:F2"/>
    <mergeCell ref="B3:F3"/>
    <mergeCell ref="B4:F4"/>
    <mergeCell ref="E5:F5"/>
    <mergeCell ref="E6:F6"/>
  </mergeCells>
  <phoneticPr fontId="20" type="noConversion"/>
  <dataValidations count="1">
    <dataValidation type="list" allowBlank="1" showErrorMessage="1" sqref="F1:F3 F7 G8 F15:F137" xr:uid="{7406C162-9956-9F49-A04A-E6797D53F35A}">
      <formula1>$I$2:$I$6</formula1>
      <formula2>0</formula2>
    </dataValidation>
  </dataValidation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dimension ref="A1:E14"/>
  <sheetViews>
    <sheetView showGridLines="0" workbookViewId="0">
      <selection activeCell="D14" sqref="D14"/>
    </sheetView>
  </sheetViews>
  <sheetFormatPr baseColWidth="10" defaultRowHeight="14"/>
  <cols>
    <col min="1" max="1" width="22.6640625" customWidth="1"/>
    <col min="2" max="2" width="22.83203125" customWidth="1"/>
    <col min="3" max="3" width="43.83203125" customWidth="1"/>
    <col min="4" max="4" width="70.1640625" customWidth="1"/>
    <col min="5" max="5" width="28.6640625" customWidth="1"/>
    <col min="6" max="6" width="33.5" customWidth="1"/>
    <col min="7" max="7" width="28.5" customWidth="1"/>
    <col min="8" max="8" width="33.83203125" customWidth="1"/>
  </cols>
  <sheetData>
    <row r="1" spans="1:5" ht="18">
      <c r="A1" s="117" t="s">
        <v>162</v>
      </c>
      <c r="B1" s="114" t="s">
        <v>141</v>
      </c>
      <c r="C1" s="114" t="s">
        <v>23</v>
      </c>
      <c r="D1" s="114" t="s">
        <v>142</v>
      </c>
      <c r="E1" s="114" t="s">
        <v>143</v>
      </c>
    </row>
    <row r="2" spans="1:5" ht="18">
      <c r="A2" s="133" t="s">
        <v>163</v>
      </c>
      <c r="B2" s="115" t="s">
        <v>57</v>
      </c>
      <c r="C2" s="115" t="s">
        <v>144</v>
      </c>
      <c r="D2" s="139" t="s">
        <v>169</v>
      </c>
      <c r="E2" s="115" t="s">
        <v>90</v>
      </c>
    </row>
    <row r="3" spans="1:5" ht="18">
      <c r="A3" s="133"/>
      <c r="B3" s="115" t="s">
        <v>58</v>
      </c>
      <c r="C3" s="115" t="s">
        <v>144</v>
      </c>
      <c r="D3" s="140"/>
      <c r="E3" s="115" t="s">
        <v>91</v>
      </c>
    </row>
    <row r="4" spans="1:5" ht="18">
      <c r="A4" s="133"/>
      <c r="B4" s="115" t="s">
        <v>59</v>
      </c>
      <c r="C4" s="115" t="s">
        <v>144</v>
      </c>
      <c r="D4" s="141"/>
      <c r="E4" s="115" t="s">
        <v>92</v>
      </c>
    </row>
    <row r="5" spans="1:5" ht="19">
      <c r="A5" s="133"/>
      <c r="B5" s="115" t="s">
        <v>60</v>
      </c>
      <c r="C5" s="115" t="s">
        <v>145</v>
      </c>
      <c r="D5" s="116" t="s">
        <v>165</v>
      </c>
      <c r="E5" s="115" t="s">
        <v>93</v>
      </c>
    </row>
    <row r="6" spans="1:5" ht="18">
      <c r="A6" s="133"/>
      <c r="B6" s="115" t="s">
        <v>61</v>
      </c>
      <c r="C6" s="115" t="s">
        <v>146</v>
      </c>
      <c r="D6" s="115" t="s">
        <v>157</v>
      </c>
      <c r="E6" s="115" t="s">
        <v>94</v>
      </c>
    </row>
    <row r="7" spans="1:5" ht="38">
      <c r="A7" s="133"/>
      <c r="B7" s="137" t="s">
        <v>62</v>
      </c>
      <c r="C7" s="137" t="s">
        <v>147</v>
      </c>
      <c r="D7" s="138" t="s">
        <v>168</v>
      </c>
      <c r="E7" s="115" t="s">
        <v>95</v>
      </c>
    </row>
    <row r="8" spans="1:5" ht="18">
      <c r="A8" s="133"/>
      <c r="B8" s="115" t="s">
        <v>63</v>
      </c>
      <c r="C8" s="115" t="s">
        <v>148</v>
      </c>
      <c r="D8" s="115" t="s">
        <v>161</v>
      </c>
      <c r="E8" s="115" t="s">
        <v>96</v>
      </c>
    </row>
    <row r="9" spans="1:5" ht="18">
      <c r="A9" s="133" t="s">
        <v>164</v>
      </c>
      <c r="B9" s="115" t="s">
        <v>64</v>
      </c>
      <c r="C9" s="115" t="s">
        <v>149</v>
      </c>
      <c r="D9" s="115" t="s">
        <v>158</v>
      </c>
      <c r="E9" s="115" t="s">
        <v>107</v>
      </c>
    </row>
    <row r="10" spans="1:5" ht="18">
      <c r="A10" s="133"/>
      <c r="B10" s="115" t="s">
        <v>65</v>
      </c>
      <c r="C10" s="115" t="s">
        <v>150</v>
      </c>
      <c r="D10" s="115" t="s">
        <v>159</v>
      </c>
      <c r="E10" s="115" t="s">
        <v>108</v>
      </c>
    </row>
    <row r="11" spans="1:5" ht="19">
      <c r="A11" s="133"/>
      <c r="B11" s="115" t="s">
        <v>66</v>
      </c>
      <c r="C11" s="115" t="s">
        <v>151</v>
      </c>
      <c r="D11" s="116" t="s">
        <v>165</v>
      </c>
      <c r="E11" s="115" t="s">
        <v>109</v>
      </c>
    </row>
    <row r="12" spans="1:5" ht="18">
      <c r="A12" s="133"/>
      <c r="B12" s="115" t="s">
        <v>67</v>
      </c>
      <c r="C12" s="115" t="s">
        <v>152</v>
      </c>
      <c r="D12" s="115" t="s">
        <v>160</v>
      </c>
      <c r="E12" s="115" t="s">
        <v>110</v>
      </c>
    </row>
    <row r="13" spans="1:5" ht="38">
      <c r="A13" s="133"/>
      <c r="B13" s="115" t="s">
        <v>153</v>
      </c>
      <c r="C13" s="115" t="s">
        <v>154</v>
      </c>
      <c r="D13" s="138" t="s">
        <v>168</v>
      </c>
      <c r="E13" s="137" t="s">
        <v>111</v>
      </c>
    </row>
    <row r="14" spans="1:5" ht="18">
      <c r="A14" s="133"/>
      <c r="B14" s="115" t="s">
        <v>155</v>
      </c>
      <c r="C14" s="115" t="s">
        <v>156</v>
      </c>
      <c r="D14" s="115" t="s">
        <v>161</v>
      </c>
      <c r="E14" s="115" t="s">
        <v>112</v>
      </c>
    </row>
  </sheetData>
  <mergeCells count="3">
    <mergeCell ref="A2:A8"/>
    <mergeCell ref="A9:A14"/>
    <mergeCell ref="D2:D4"/>
  </mergeCells>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tabSelected="1" workbookViewId="0">
      <selection activeCell="I28" sqref="I27:I28"/>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36" t="s">
        <v>43</v>
      </c>
      <c r="C1" s="136"/>
      <c r="D1" s="136"/>
      <c r="E1" s="136"/>
      <c r="F1" s="136"/>
      <c r="G1" s="136"/>
      <c r="H1" s="136"/>
    </row>
    <row r="2" spans="1:8" ht="14.25" customHeight="1">
      <c r="A2" s="73"/>
      <c r="B2" s="73"/>
      <c r="C2" s="74"/>
      <c r="D2" s="74"/>
      <c r="E2" s="74"/>
      <c r="F2" s="74"/>
      <c r="G2" s="74"/>
      <c r="H2" s="75"/>
    </row>
    <row r="3" spans="1:8" ht="12" customHeight="1">
      <c r="B3" s="11" t="s">
        <v>1</v>
      </c>
      <c r="C3" s="128" t="s">
        <v>2</v>
      </c>
      <c r="D3" s="128"/>
      <c r="E3" s="134" t="s">
        <v>3</v>
      </c>
      <c r="F3" s="134"/>
      <c r="G3" s="76"/>
      <c r="H3" s="77"/>
    </row>
    <row r="4" spans="1:8" ht="12" customHeight="1">
      <c r="B4" s="11" t="s">
        <v>4</v>
      </c>
      <c r="C4" s="128" t="s">
        <v>5</v>
      </c>
      <c r="D4" s="128"/>
      <c r="E4" s="134" t="s">
        <v>6</v>
      </c>
      <c r="F4" s="134"/>
      <c r="G4" s="76"/>
      <c r="H4" s="77"/>
    </row>
    <row r="5" spans="1:8" ht="12" customHeight="1">
      <c r="B5" s="78" t="s">
        <v>7</v>
      </c>
      <c r="C5" s="128" t="str">
        <f>C4&amp;"_"&amp;"Test Report"&amp;"_"&amp;"vx.x"</f>
        <v>&lt;Project Code&gt;_Test Report_vx.x</v>
      </c>
      <c r="D5" s="128"/>
      <c r="E5" s="134" t="s">
        <v>8</v>
      </c>
      <c r="F5" s="134"/>
      <c r="G5" s="76"/>
      <c r="H5" s="79" t="s">
        <v>44</v>
      </c>
    </row>
    <row r="6" spans="1:8" ht="21.75" customHeight="1">
      <c r="A6" s="73"/>
      <c r="B6" s="78" t="s">
        <v>45</v>
      </c>
      <c r="C6" s="135" t="s">
        <v>46</v>
      </c>
      <c r="D6" s="135"/>
      <c r="E6" s="135"/>
      <c r="F6" s="135"/>
      <c r="G6" s="135"/>
      <c r="H6" s="135"/>
    </row>
    <row r="7" spans="1:8" ht="14.25" customHeight="1">
      <c r="A7" s="73"/>
      <c r="B7" s="13"/>
      <c r="C7" s="80"/>
      <c r="D7" s="74"/>
      <c r="E7" s="74"/>
      <c r="F7" s="74"/>
      <c r="G7" s="74"/>
      <c r="H7" s="75"/>
    </row>
    <row r="8" spans="1:8">
      <c r="B8" s="13"/>
      <c r="C8" s="80"/>
      <c r="D8" s="74"/>
      <c r="E8" s="74"/>
      <c r="F8" s="74"/>
      <c r="G8" s="74"/>
      <c r="H8" s="75"/>
    </row>
    <row r="10" spans="1:8" ht="14">
      <c r="A10" s="81"/>
      <c r="B10" s="82" t="s">
        <v>20</v>
      </c>
      <c r="C10" s="83" t="s">
        <v>47</v>
      </c>
      <c r="D10" s="84" t="s">
        <v>29</v>
      </c>
      <c r="E10" s="83" t="s">
        <v>32</v>
      </c>
      <c r="F10" s="83" t="s">
        <v>34</v>
      </c>
      <c r="G10" s="85" t="s">
        <v>35</v>
      </c>
      <c r="H10" s="86" t="s">
        <v>48</v>
      </c>
    </row>
    <row r="11" spans="1:8">
      <c r="A11" s="81"/>
      <c r="B11" s="87">
        <v>1</v>
      </c>
      <c r="C11" s="88" t="str">
        <f>Module1!B2</f>
        <v xml:space="preserve">Module1 </v>
      </c>
      <c r="D11" s="89">
        <f>Module1!A6</f>
        <v>6</v>
      </c>
      <c r="E11" s="89">
        <f>Module1!B6</f>
        <v>0</v>
      </c>
      <c r="F11" s="89">
        <f>Module1!C6</f>
        <v>0</v>
      </c>
      <c r="G11" s="90">
        <f>Module1!D6</f>
        <v>0</v>
      </c>
      <c r="H11" s="118">
        <f>Module1!E6</f>
        <v>6</v>
      </c>
    </row>
    <row r="12" spans="1:8">
      <c r="A12" s="81"/>
      <c r="B12" s="87">
        <v>2</v>
      </c>
      <c r="C12" s="88" t="s">
        <v>26</v>
      </c>
      <c r="D12" s="89">
        <f>Module2!A6</f>
        <v>6</v>
      </c>
      <c r="E12" s="89">
        <f>Module2!B6</f>
        <v>0</v>
      </c>
      <c r="F12" s="89">
        <f>Module2!C6</f>
        <v>0</v>
      </c>
      <c r="G12" s="90">
        <f>Module2!D6</f>
        <v>0</v>
      </c>
      <c r="H12" s="120">
        <f>Module2!E6</f>
        <v>6</v>
      </c>
    </row>
    <row r="13" spans="1:8">
      <c r="A13" s="81"/>
      <c r="B13" s="87"/>
      <c r="C13" s="88"/>
      <c r="D13" s="89"/>
      <c r="E13" s="89"/>
      <c r="F13" s="89"/>
      <c r="G13" s="90"/>
      <c r="H13" s="119"/>
    </row>
    <row r="14" spans="1:8">
      <c r="A14" s="81"/>
      <c r="B14" s="91"/>
      <c r="C14" s="92" t="s">
        <v>49</v>
      </c>
      <c r="D14" s="93">
        <f>SUM(D9:D13)</f>
        <v>12</v>
      </c>
      <c r="E14" s="93">
        <f>SUM(E9:E13)</f>
        <v>0</v>
      </c>
      <c r="F14" s="93">
        <f>SUM(F9:F13)</f>
        <v>0</v>
      </c>
      <c r="G14" s="93">
        <f>SUM(G9:G13)</f>
        <v>0</v>
      </c>
      <c r="H14" s="94">
        <f>SUM(H9:H13)</f>
        <v>12</v>
      </c>
    </row>
    <row r="15" spans="1:8">
      <c r="B15" s="95"/>
      <c r="D15" s="96"/>
      <c r="E15" s="97"/>
      <c r="F15" s="97"/>
      <c r="G15" s="97"/>
      <c r="H15" s="97"/>
    </row>
    <row r="16" spans="1:8">
      <c r="C16" s="98" t="s">
        <v>50</v>
      </c>
      <c r="E16" s="99">
        <f>(D14+E14)*100/(H14-G14)</f>
        <v>100</v>
      </c>
      <c r="F16" s="8" t="s">
        <v>51</v>
      </c>
      <c r="H16" s="72"/>
    </row>
    <row r="17" spans="3:8">
      <c r="C17" s="98" t="s">
        <v>52</v>
      </c>
      <c r="E17" s="99">
        <f>D14*100/(H14-G14)</f>
        <v>100</v>
      </c>
      <c r="F17" s="8" t="s">
        <v>51</v>
      </c>
      <c r="H17" s="72"/>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85ED280E-F51D-42B1-B363-4EC477D089ED}">
  <ds:schemaRefs>
    <ds:schemaRef ds:uri="http://schemas.microsoft.com/sharepoint/v3/contenttype/forms"/>
  </ds:schemaRefs>
</ds:datastoreItem>
</file>

<file path=customXml/itemProps2.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Module1</vt:lpstr>
      <vt:lpstr>Module2</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2025-12-17T04:15:28Z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