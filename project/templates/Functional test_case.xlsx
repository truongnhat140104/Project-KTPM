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821" activeTab="7"/>
  </bookViews>
  <sheets>
    <sheet name="Cover" sheetId="1" r:id="rId1"/>
    <sheet name="Test case List" sheetId="2" r:id="rId2"/>
    <sheet name="Module1" sheetId="3" r:id="rId3"/>
    <sheet name="Module2" sheetId="4" r:id="rId4"/>
    <sheet name="Module3" sheetId="7" r:id="rId5"/>
    <sheet name="TestDataModule1" sheetId="8" r:id="rId6"/>
    <sheet name="TestDataModule2" sheetId="9" r:id="rId7"/>
    <sheet name="TestDataModule3" sheetId="10" r:id="rId8"/>
    <sheet name="Test Report" sheetId="5" r:id="rId9"/>
  </sheets>
  <definedNames>
    <definedName name="_xlnm._FilterDatabase" localSheetId="2" hidden="1">Module1!$A$8:$I$15</definedName>
    <definedName name="_xlnm._FilterDatabase" localSheetId="3" hidden="1">Module2!$A$8:$I$15</definedName>
    <definedName name="_xlnm._FilterDatabase" localSheetId="4" hidden="1">Module3!$A$8:$H$16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b/>
            <sz val="10"/>
            <color indexed="8"/>
            <rFont val="Times New Roman"/>
            <charset val="134"/>
          </rPr>
          <t>*A</t>
        </r>
        <r>
          <rPr>
            <sz val="10"/>
            <color indexed="8"/>
            <rFont val="Times New Roman"/>
            <charset val="134"/>
          </rPr>
          <t xml:space="preserve">: Add
  </t>
        </r>
        <r>
          <rPr>
            <b/>
            <sz val="10"/>
            <color indexed="8"/>
            <rFont val="Times New Roman"/>
            <charset val="134"/>
          </rPr>
          <t>M</t>
        </r>
        <r>
          <rPr>
            <sz val="10"/>
            <color indexed="8"/>
            <rFont val="Times New Roman"/>
            <charset val="134"/>
          </rPr>
          <t xml:space="preserve">: Modify
  </t>
        </r>
        <r>
          <rPr>
            <b/>
            <sz val="10"/>
            <color indexed="8"/>
            <rFont val="Times New Roman"/>
            <charset val="134"/>
          </rPr>
          <t>D</t>
        </r>
        <r>
          <rPr>
            <sz val="10"/>
            <color indexed="8"/>
            <rFont val="Times New Roman"/>
            <charset val="134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<sst xmlns="http://schemas.openxmlformats.org/spreadsheetml/2006/main" count="680" uniqueCount="400">
  <si>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</si>
  <si>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</si>
  <si>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</si>
  <si>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</si>
  <si>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</si>
  <si>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</si>
  <si>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</si>
  <si>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</si>
  <si>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</si>
  <si>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</si>
  <si>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</si>
  <si>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</si>
  <si>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</si>
  <si>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</si>
  <si>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</si>
  <si>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</si>
  <si>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</si>
  <si>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</si>
  <si>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</si>
  <si>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</si>
  <si>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</si>
  <si>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</si>
  <si>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</si>
  <si>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</si>
  <si>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</si>
  <si>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</si>
  <si>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FORM FUNCTIONALITY</t>
  </si>
  <si>
    <t>Module1</t>
  </si>
  <si>
    <t>LINK TESTING</t>
  </si>
  <si>
    <t>Module2</t>
  </si>
  <si>
    <t>BUSINESS WORKFLOW</t>
  </si>
  <si>
    <t>Module3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</si>
  <si>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</si>
  <si>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</si>
  <si>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</si>
  <si>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</si>
  <si>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</si>
  <si>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</si>
  <si>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</si>
  <si>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</si>
  <si>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</si>
  <si>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</si>
  <si>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</si>
  <si>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</si>
  <si>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</si>
  <si>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Pre-condition</t>
  </si>
  <si>
    <t>Test Case Procedure</t>
  </si>
  <si>
    <t>Expected Output</t>
  </si>
  <si>
    <t>Test data</t>
  </si>
  <si>
    <t>Result</t>
  </si>
  <si>
    <t>TC_FORM_01</t>
  </si>
  <si>
    <t>Verify form is displayed correctly</t>
  </si>
  <si>
    <t>User accesses the correct page containing the form</t>
  </si>
  <si>
    <t>1. Access the system</t>
  </si>
  <si>
    <t>All input fields and buttons are displayed correctly with proper labels</t>
  </si>
  <si>
    <t>Form UI verification</t>
  </si>
  <si>
    <t>2. Navigate to the page containing the form</t>
  </si>
  <si>
    <t>3. Observe all input fields</t>
  </si>
  <si>
    <t>4. Verify the display of action buttons (Submit, Cancel, Save, etc.)</t>
  </si>
  <si>
    <t>TC_FORM_02</t>
  </si>
  <si>
    <t>Submit form with valid data</t>
  </si>
  <si>
    <t>Form is ready for use</t>
  </si>
  <si>
    <t>1. Open the page containing the form</t>
  </si>
  <si>
    <t>Form is submitted successfully and no error message is displayed</t>
  </si>
  <si>
    <t>FormData_01</t>
  </si>
  <si>
    <t>TestDataModule1</t>
  </si>
  <si>
    <t>Valid form submission</t>
  </si>
  <si>
    <t>2. Enter valid data into all required fields</t>
  </si>
  <si>
    <t>3. Review the entered data</t>
  </si>
  <si>
    <t>4. Click the Submit button</t>
  </si>
  <si>
    <t>TC_FORM_03</t>
  </si>
  <si>
    <t>Submit form with empty required fields</t>
  </si>
  <si>
    <t>Validation message requesting required input is displayed</t>
  </si>
  <si>
    <t>FormData_02</t>
  </si>
  <si>
    <t>Required field validation</t>
  </si>
  <si>
    <t>2. Leave required fields empty</t>
  </si>
  <si>
    <t>3. Click the Submit button</t>
  </si>
  <si>
    <t>TC_FORM_04</t>
  </si>
  <si>
    <t>Submit form with invalid data format</t>
  </si>
  <si>
    <t>Data format validation error message is displayed</t>
  </si>
  <si>
    <t>FormData_03</t>
  </si>
  <si>
    <t>Data format validation</t>
  </si>
  <si>
    <t>2. Enter data in an invalid format (e.g., text in a numeric field)</t>
  </si>
  <si>
    <t>TC_FORM_05</t>
  </si>
  <si>
    <t>Verify error message when invalid input is entered</t>
  </si>
  <si>
    <t>Error message is clearly displayed at the correct field</t>
  </si>
  <si>
    <t>FormData_04</t>
  </si>
  <si>
    <t>Error message display</t>
  </si>
  <si>
    <t>2. Enter invalid data</t>
  </si>
  <si>
    <t>4. Observe the error message</t>
  </si>
  <si>
    <t>TC_FORM_06</t>
  </si>
  <si>
    <t>Verify data is saved after form submission</t>
  </si>
  <si>
    <t>Form is submitted successfully</t>
  </si>
  <si>
    <t>1. Submit the form with valid data</t>
  </si>
  <si>
    <t>Entered data is saved correctly</t>
  </si>
  <si>
    <t>Data persistence</t>
  </si>
  <si>
    <t>2. Navigate to another page</t>
  </si>
  <si>
    <t>3. Return to the form page or data list</t>
  </si>
  <si>
    <t>TC_FORM_07</t>
  </si>
  <si>
    <t>Add new data using form</t>
  </si>
  <si>
    <t>User has permission to add new data</t>
  </si>
  <si>
    <t>1. Navigate to the Add New Data page</t>
  </si>
  <si>
    <t>New data appears successfully in the system</t>
  </si>
  <si>
    <t>FormData_05</t>
  </si>
  <si>
    <t>Create operation</t>
  </si>
  <si>
    <t>4. Verify the data list</t>
  </si>
  <si>
    <t>TC_FORM_08</t>
  </si>
  <si>
    <t>Update existing data using form</t>
  </si>
  <si>
    <t>Existing data is available</t>
  </si>
  <si>
    <t>1. Navigate to the data list</t>
  </si>
  <si>
    <t>Data is updated correctly</t>
  </si>
  <si>
    <t>FormData_06</t>
  </si>
  <si>
    <t>Update operation</t>
  </si>
  <si>
    <t>2. Select a record to edit</t>
  </si>
  <si>
    <t>3. Update the information</t>
  </si>
  <si>
    <t>TC_FORM_09</t>
  </si>
  <si>
    <t>View data details in form</t>
  </si>
  <si>
    <t>Data details are displayed completely and accurately</t>
  </si>
  <si>
    <t>Read operation</t>
  </si>
  <si>
    <t>2. Select the view detail option</t>
  </si>
  <si>
    <t>TC_FORM_10</t>
  </si>
  <si>
    <t>Delete data using form</t>
  </si>
  <si>
    <t>Data is removed from the system successfully</t>
  </si>
  <si>
    <t>FormData_07</t>
  </si>
  <si>
    <t>Delete operation</t>
  </si>
  <si>
    <t>2. Select a record to delete</t>
  </si>
  <si>
    <t>3. Click the Delete button</t>
  </si>
  <si>
    <t>4. Confirm deletion</t>
  </si>
  <si>
    <t>Inter-test case Dependence</t>
  </si>
  <si>
    <t>Test date</t>
  </si>
  <si>
    <t>Note</t>
  </si>
  <si>
    <t>TC_LINK_01</t>
  </si>
  <si>
    <t>Verify all internal links navigate to correct pages</t>
  </si>
  <si>
    <t>User is logged in and system is accessible</t>
  </si>
  <si>
    <t>Each internal link redirects to the correct and expected page without error</t>
  </si>
  <si>
    <t>Internal link navigation</t>
  </si>
  <si>
    <t>2. Navigate to the Home page</t>
  </si>
  <si>
    <t>3. Identify all internal links (menu links, buttons, text links)</t>
  </si>
  <si>
    <t>4. Click each internal link one by one</t>
  </si>
  <si>
    <t>5. Observe the destination page after each click</t>
  </si>
  <si>
    <t>TC_LINK_02</t>
  </si>
  <si>
    <t>Verify internal links work from different pages</t>
  </si>
  <si>
    <t>User is logged in</t>
  </si>
  <si>
    <t>1. Navigate to multiple pages (Home, Menu, Cart, Profile)</t>
  </si>
  <si>
    <t>Internal links work consistently across different pages</t>
  </si>
  <si>
    <t>Internal link consistency</t>
  </si>
  <si>
    <t>2. Click internal links available on each page</t>
  </si>
  <si>
    <t>3. Observe navigation behavior</t>
  </si>
  <si>
    <t>TC_LINK_03</t>
  </si>
  <si>
    <t>Verify external links (Stripe API) are accessible</t>
  </si>
  <si>
    <t>System is connected to internet</t>
  </si>
  <si>
    <t>External link to Stripe is accessible and loads correctly</t>
  </si>
  <si>
    <t>Stripe_URL</t>
  </si>
  <si>
    <t>External link integration</t>
  </si>
  <si>
    <t>2. Navigate to the payment page</t>
  </si>
  <si>
    <t>3. Trigger an action that redirects or connects to Stripe (e.g. Pay Now)</t>
  </si>
  <si>
    <t>4. Observe the external link behavior</t>
  </si>
  <si>
    <t>TC_LINK_04</t>
  </si>
  <si>
    <t>Verify external links open correct external resources</t>
  </si>
  <si>
    <t>System is accessible</t>
  </si>
  <si>
    <t>1. Navigate to pages containing external links (e.g. Stripe, policy pages)</t>
  </si>
  <si>
    <t>External links redirect to correct external systems or resources</t>
  </si>
  <si>
    <t>External_URLs</t>
  </si>
  <si>
    <t>External link validation</t>
  </si>
  <si>
    <t>2. Click each external link</t>
  </si>
  <si>
    <t>3. Verify destination URL and page content</t>
  </si>
  <si>
    <t>TC_LINK_05</t>
  </si>
  <si>
    <t>Verify system does not contain broken internal links</t>
  </si>
  <si>
    <t>1. Navigate through all main pages of the system</t>
  </si>
  <si>
    <t>No broken links (404, 500 errors) are found</t>
  </si>
  <si>
    <t>Broken link check</t>
  </si>
  <si>
    <t>2. Click all visible internal links</t>
  </si>
  <si>
    <t>3. Monitor page responses and browser status</t>
  </si>
  <si>
    <t>TC_LINK_06</t>
  </si>
  <si>
    <t>Verify system handles unreachable external links gracefully</t>
  </si>
  <si>
    <t>External service is unavailable</t>
  </si>
  <si>
    <t>1. Simulate external service unavailability (e.g. Stripe down)</t>
  </si>
  <si>
    <t>System displays appropriate error message or fallback behavior</t>
  </si>
  <si>
    <t>Stripe_Down</t>
  </si>
  <si>
    <t>External link failure handling</t>
  </si>
  <si>
    <t>2. Attempt to access the external link</t>
  </si>
  <si>
    <t>3. Observe system behavior</t>
  </si>
  <si>
    <t>TC_LINK_07</t>
  </si>
  <si>
    <t>Verify access to non-existing pages is prevented</t>
  </si>
  <si>
    <t>1. Manually enter an invalid or non-existing URL</t>
  </si>
  <si>
    <t>System prevents access and displays error or redirect page</t>
  </si>
  <si>
    <t>Invalid_URL</t>
  </si>
  <si>
    <t>Invalid page access</t>
  </si>
  <si>
    <t>2. Press Enter to access the page</t>
  </si>
  <si>
    <t>TC_LINK_08</t>
  </si>
  <si>
    <t>Verify system redirects user when accessing invalid pages</t>
  </si>
  <si>
    <t>1. Enter a non-existing page URL</t>
  </si>
  <si>
    <t>User is redirected to a valid page (e.g. error page or home page)</t>
  </si>
  <si>
    <t>Page access control</t>
  </si>
  <si>
    <t>2. Observe system response</t>
  </si>
  <si>
    <t>TC_LINK_09</t>
  </si>
  <si>
    <t>TC_BW_01</t>
  </si>
  <si>
    <t>Verify end-to-end order workflow</t>
  </si>
  <si>
    <t>User has a valid account</t>
  </si>
  <si>
    <t>Order is completed successfully and confirmation page is displayed</t>
  </si>
  <si>
    <t>BW_Data_01</t>
  </si>
  <si>
    <t>End-to-End workflow</t>
  </si>
  <si>
    <t>2. Login with valid credentials</t>
  </si>
  <si>
    <t>3. Browse food menu</t>
  </si>
  <si>
    <t>4. Add food items to shopping cart</t>
  </si>
  <si>
    <t>5. Proceed to checkout</t>
  </si>
  <si>
    <t>6. Complete payment</t>
  </si>
  <si>
    <t>TC_BW_02</t>
  </si>
  <si>
    <t>Verify workflow from login to successful payment</t>
  </si>
  <si>
    <t>User account exists</t>
  </si>
  <si>
    <t>1. Login to system</t>
  </si>
  <si>
    <t>Payment is successful and order status is updated</t>
  </si>
  <si>
    <t>BW_Data_02</t>
  </si>
  <si>
    <t>Full business flow</t>
  </si>
  <si>
    <t>2. Navigate through menu pages</t>
  </si>
  <si>
    <t>3. Add items to cart</t>
  </si>
  <si>
    <t>4. Checkout and pay using valid payment method</t>
  </si>
  <si>
    <t>TC_BW_03</t>
  </si>
  <si>
    <t>Verify data consistency across pages</t>
  </si>
  <si>
    <t>1. Add multiple items to cart</t>
  </si>
  <si>
    <t>Product list, quantity, and total amount remain consistent</t>
  </si>
  <si>
    <t>BW_Data_03</t>
  </si>
  <si>
    <t>Data consistency</t>
  </si>
  <si>
    <t>2. Navigate between Menu, Cart, and Checkout pages</t>
  </si>
  <si>
    <t>3. Observe item list, quantity, and total price</t>
  </si>
  <si>
    <t>TC_BW_04</t>
  </si>
  <si>
    <t>Verify data consistency after page refresh</t>
  </si>
  <si>
    <t>Items exist in cart</t>
  </si>
  <si>
    <t>1. Add items to cart</t>
  </si>
  <si>
    <t>Cart data is retained correctly after refresh</t>
  </si>
  <si>
    <t>BW_Data_04</t>
  </si>
  <si>
    <t>State persistence</t>
  </si>
  <si>
    <t>2. Refresh the browser page</t>
  </si>
  <si>
    <t>3. Navigate to cart again</t>
  </si>
  <si>
    <t>TC_BW_05</t>
  </si>
  <si>
    <t>Verify system behavior when payment is cancelled</t>
  </si>
  <si>
    <t>User at payment step</t>
  </si>
  <si>
    <t>1. Proceed to checkout</t>
  </si>
  <si>
    <t>System handles cancellation gracefully without data loss</t>
  </si>
  <si>
    <t>BW_Data_05</t>
  </si>
  <si>
    <t>Interrupted workflow</t>
  </si>
  <si>
    <t>2. Initiate payment</t>
  </si>
  <si>
    <t>3. Cancel payment process</t>
  </si>
  <si>
    <t>4. Return to previous page</t>
  </si>
  <si>
    <t>TC_BW_06</t>
  </si>
  <si>
    <t>Verify workflow when user navigates back during checkout</t>
  </si>
  <si>
    <t>User is at checkout page</t>
  </si>
  <si>
    <t>Cart data remains unchanged and no error occurs</t>
  </si>
  <si>
    <t>BW_Data_06</t>
  </si>
  <si>
    <t>Navigation handling</t>
  </si>
  <si>
    <t>2. Proceed to checkout</t>
  </si>
  <si>
    <t>3. Click browser Back button</t>
  </si>
  <si>
    <t>4. Return to cart</t>
  </si>
  <si>
    <t>TC_BW_07</t>
  </si>
  <si>
    <t>Verify system prevents duplicate orders on repeated payment</t>
  </si>
  <si>
    <t>User at payment page</t>
  </si>
  <si>
    <t>Only one order is created and payment is processed once</t>
  </si>
  <si>
    <t>BW_Data_07</t>
  </si>
  <si>
    <t>Duplicate prevention</t>
  </si>
  <si>
    <t>2. Click Pay button multiple times rapidly</t>
  </si>
  <si>
    <t>TC_BW_08</t>
  </si>
  <si>
    <t>Verify redirection after successful login</t>
  </si>
  <si>
    <t>User not logged in</t>
  </si>
  <si>
    <t>1. Access login page</t>
  </si>
  <si>
    <t>User is redirected to Home page</t>
  </si>
  <si>
    <t>BW_Data_08</t>
  </si>
  <si>
    <t>Redirect validation</t>
  </si>
  <si>
    <t>TC_BW_09</t>
  </si>
  <si>
    <t>Verify redirection after successful payment</t>
  </si>
  <si>
    <t>Payment completed</t>
  </si>
  <si>
    <t>1. Complete checkout and payment</t>
  </si>
  <si>
    <t>User is redirected to order confirmation page</t>
  </si>
  <si>
    <t>BW_Data_09</t>
  </si>
  <si>
    <t>Post-payment redirect</t>
  </si>
  <si>
    <t>TC_BW_10</t>
  </si>
  <si>
    <t>Verify redirection when accessing protected pages</t>
  </si>
  <si>
    <t>User logged out</t>
  </si>
  <si>
    <t>1. Logout from system</t>
  </si>
  <si>
    <t>User is redirected to login page</t>
  </si>
  <si>
    <t>BW_Data_10</t>
  </si>
  <si>
    <t>Access control</t>
  </si>
  <si>
    <t>2. Attempt to access protected page via URL</t>
  </si>
  <si>
    <t>Test Data ID</t>
  </si>
  <si>
    <t>Username</t>
  </si>
  <si>
    <t>Password</t>
  </si>
  <si>
    <t>Role</t>
  </si>
  <si>
    <t>Email</t>
  </si>
  <si>
    <t>Account Status</t>
  </si>
  <si>
    <t>Dieu Linh</t>
  </si>
  <si>
    <t>P@ssw0rd123</t>
  </si>
  <si>
    <t>Customer</t>
  </si>
  <si>
    <t>user3@gmail.com</t>
  </si>
  <si>
    <t>Active</t>
  </si>
  <si>
    <t>Valid data for successful form submission</t>
  </si>
  <si>
    <t>(empty)</t>
  </si>
  <si>
    <t>Missing required username field</t>
  </si>
  <si>
    <t>abc123</t>
  </si>
  <si>
    <t>invalid-email-format</t>
  </si>
  <si>
    <t>Invalid data format (password, email)</t>
  </si>
  <si>
    <t>short</t>
  </si>
  <si>
    <t>Trigger validation error messages</t>
  </si>
  <si>
    <t>P@ssw0rd456</t>
  </si>
  <si>
    <t>Create new data using form</t>
  </si>
  <si>
    <t>P@ssw0rd789</t>
  </si>
  <si>
    <t>Update existing data</t>
  </si>
  <si>
    <t>P@ssw0rd999</t>
  </si>
  <si>
    <t>Delete existing data</t>
  </si>
  <si>
    <t>Used for UI-only or view-only test cases</t>
  </si>
  <si>
    <t>URL / Link Type</t>
  </si>
  <si>
    <t>Page Name / Source</t>
  </si>
  <si>
    <t>User State</t>
  </si>
  <si>
    <t>Network / Service Status</t>
  </si>
  <si>
    <t>Expected Behavior</t>
  </si>
  <si>
    <t>LinkData_01</t>
  </si>
  <si>
    <t>Internal link</t>
  </si>
  <si>
    <t>Home → Menu</t>
  </si>
  <si>
    <t>Logged in</t>
  </si>
  <si>
    <t>Normal</t>
  </si>
  <si>
    <t>Navigate to Menu page successfully</t>
  </si>
  <si>
    <t>Internal navigation</t>
  </si>
  <si>
    <t>LinkData_02</t>
  </si>
  <si>
    <t>Menu → Cart</t>
  </si>
  <si>
    <t>Navigate to Cart page successfully</t>
  </si>
  <si>
    <t>LinkData_03</t>
  </si>
  <si>
    <t>Cart → Profile</t>
  </si>
  <si>
    <t>Navigate to Profile page successfully</t>
  </si>
  <si>
    <t>LinkData_04</t>
  </si>
  <si>
    <t>External link (Stripe)</t>
  </si>
  <si>
    <t>Checkout → Pay Now</t>
  </si>
  <si>
    <t>Internet available</t>
  </si>
  <si>
    <t>Redirect to Stripe payment page</t>
  </si>
  <si>
    <t>External integration</t>
  </si>
  <si>
    <t>LinkData_05</t>
  </si>
  <si>
    <t>External link</t>
  </si>
  <si>
    <t>Footer → Policy page</t>
  </si>
  <si>
    <t>Open correct external policy page</t>
  </si>
  <si>
    <t>External resource</t>
  </si>
  <si>
    <t>LinkData_06</t>
  </si>
  <si>
    <t>Multiple pages</t>
  </si>
  <si>
    <t>No broken links (no 404 / 500 error)</t>
  </si>
  <si>
    <t>LinkData_07</t>
  </si>
  <si>
    <t>Checkout</t>
  </si>
  <si>
    <t>Stripe service down</t>
  </si>
  <si>
    <t>Show error message or fallback behavior</t>
  </si>
  <si>
    <t>External failure</t>
  </si>
  <si>
    <t>LinkData_08</t>
  </si>
  <si>
    <t>Invalid URL</t>
  </si>
  <si>
    <t>Manually entered URL</t>
  </si>
  <si>
    <t>Access is blocked or error page is shown</t>
  </si>
  <si>
    <t>Invalid page</t>
  </si>
  <si>
    <t>LinkData_09</t>
  </si>
  <si>
    <t>Redirect to error page or home page</t>
  </si>
  <si>
    <t>Redirect handing</t>
  </si>
  <si>
    <t>User Account</t>
  </si>
  <si>
    <t>Items in Cart</t>
  </si>
  <si>
    <t>Quantity</t>
  </si>
  <si>
    <t>Payment Method</t>
  </si>
  <si>
    <t>Order Status</t>
  </si>
  <si>
    <t>Scenario Description</t>
  </si>
  <si>
    <t>customer01</t>
  </si>
  <si>
    <t>bún bò 1, Món lẩu</t>
  </si>
  <si>
    <t>1, 1</t>
  </si>
  <si>
    <t>Stripe (Valid)</t>
  </si>
  <si>
    <t>Completed</t>
  </si>
  <si>
    <t>End-to-end order from login to payment</t>
  </si>
  <si>
    <t>E2E success</t>
  </si>
  <si>
    <t>bún bò 1</t>
  </si>
  <si>
    <t>Login → browse → add to cart → pay</t>
  </si>
  <si>
    <t>Full workflow</t>
  </si>
  <si>
    <t>bún bò 1, Pho</t>
  </si>
  <si>
    <t>In progress</t>
  </si>
  <si>
    <t>Navigate between Menu, Cart, Checkout</t>
  </si>
  <si>
    <t>In cart</t>
  </si>
  <si>
    <t>Refresh page after adding items</t>
  </si>
  <si>
    <t>Stripe (Cancelled)</t>
  </si>
  <si>
    <t>Cancelled</t>
  </si>
  <si>
    <t>Cancel payment during checkout</t>
  </si>
  <si>
    <t>Payment interruption</t>
  </si>
  <si>
    <t>Món lẩu</t>
  </si>
  <si>
    <t>In checkout</t>
  </si>
  <si>
    <t>Use browser Back button during checkout</t>
  </si>
  <si>
    <t>Click Pay button multiple times</t>
  </si>
  <si>
    <t>Not logged in</t>
  </si>
  <si>
    <t>Login and redirection to Home page</t>
  </si>
  <si>
    <t>Login redirect</t>
  </si>
  <si>
    <t>Cơm Code</t>
  </si>
  <si>
    <t>Redirect to confirmation page after payment</t>
  </si>
  <si>
    <t>Logged out</t>
  </si>
  <si>
    <t>Access protected page after logout</t>
  </si>
  <si>
    <t>Access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</si>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</sst>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;@"/>
  </numFmts>
  <fonts count="48">
    <font>
      <sz val="11"/>
      <name val="ＭＳ Ｐゴシック"/>
      <charset val="128"/>
    </font>
    <font>
      <sz val="10"/>
      <name val="Tahoma"/>
      <charset val="134"/>
    </font>
    <font>
      <b/>
      <sz val="20"/>
      <color indexed="8"/>
      <name val="Tahoma"/>
      <charset val="134"/>
    </font>
    <font>
      <b/>
      <sz val="10"/>
      <name val="Tahoma"/>
      <charset val="134"/>
    </font>
    <font>
      <b/>
      <sz val="10"/>
      <color indexed="60"/>
      <name val="Tahoma"/>
      <charset val="134"/>
    </font>
    <font>
      <i/>
      <sz val="10"/>
      <color indexed="17"/>
      <name val="Tahoma"/>
      <charset val="134"/>
    </font>
    <font>
      <b/>
      <sz val="10"/>
      <color indexed="9"/>
      <name val="Tahoma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b/>
      <sz val="14"/>
      <name val="Calibri"/>
      <charset val="128"/>
    </font>
    <font>
      <sz val="14"/>
      <name val="Calibri"/>
      <charset val="128"/>
    </font>
    <font>
      <b/>
      <sz val="14"/>
      <name val="Times New Roman"/>
      <charset val="128"/>
    </font>
    <font>
      <b/>
      <sz val="16"/>
      <name val="Times New Roman"/>
      <charset val="134"/>
    </font>
    <font>
      <sz val="14"/>
      <color theme="1"/>
      <name val="Calibri"/>
      <charset val="128"/>
    </font>
    <font>
      <i/>
      <sz val="14"/>
      <name val="Calibri"/>
      <charset val="128"/>
    </font>
    <font>
      <sz val="16"/>
      <name val="Times New Roman"/>
      <charset val="134"/>
    </font>
    <font>
      <sz val="10"/>
      <color indexed="10"/>
      <name val="Tahoma"/>
      <charset val="134"/>
    </font>
    <font>
      <b/>
      <sz val="10"/>
      <color indexed="8"/>
      <name val="Tahoma"/>
      <charset val="134"/>
    </font>
    <font>
      <b/>
      <sz val="10"/>
      <color indexed="10"/>
      <name val="Tahoma"/>
      <charset val="134"/>
    </font>
    <font>
      <u/>
      <sz val="10"/>
      <color rgb="FF800080"/>
      <name val="Tahoma"/>
      <charset val="134"/>
    </font>
    <font>
      <u/>
      <sz val="10"/>
      <color indexed="12"/>
      <name val="Tahoma"/>
      <charset val="134"/>
    </font>
    <font>
      <u/>
      <sz val="11"/>
      <color indexed="12"/>
      <name val="ＭＳ Ｐゴシック"/>
      <charset val="128"/>
    </font>
    <font>
      <b/>
      <sz val="22"/>
      <color indexed="10"/>
      <name val="Tahoma"/>
      <charset val="134"/>
    </font>
    <font>
      <b/>
      <sz val="26"/>
      <color indexed="10"/>
      <name val="Tahoma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9"/>
      <name val="ＭＳ ゴシック"/>
      <charset val="128"/>
    </font>
    <font>
      <b/>
      <sz val="10"/>
      <color indexed="8"/>
      <name val="Times New Roman"/>
      <charset val="134"/>
    </font>
    <font>
      <b/>
      <sz val="8"/>
      <color indexed="8"/>
      <name val="Times New Roman"/>
      <charset val="134"/>
    </font>
    <font>
      <sz val="10"/>
      <color indexed="8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theme="7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7" borderId="4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43" applyNumberFormat="0" applyAlignment="0" applyProtection="0">
      <alignment vertical="center"/>
    </xf>
    <xf numFmtId="0" fontId="34" fillId="9" borderId="44" applyNumberFormat="0" applyAlignment="0" applyProtection="0">
      <alignment vertical="center"/>
    </xf>
    <xf numFmtId="0" fontId="35" fillId="9" borderId="43" applyNumberFormat="0" applyAlignment="0" applyProtection="0">
      <alignment vertical="center"/>
    </xf>
    <xf numFmtId="0" fontId="36" fillId="10" borderId="45" applyNumberFormat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/>
  </cellStyleXfs>
  <cellXfs count="158">
    <xf numFmtId="0" fontId="0" fillId="0" borderId="0" xfId="0"/>
    <xf numFmtId="0" fontId="1" fillId="2" borderId="0" xfId="0" applyFont="1" applyFill="1"/>
    <xf numFmtId="0" fontId="2" fillId="2" borderId="0" xfId="49" applyFont="1" applyFill="1" applyBorder="1" applyAlignment="1">
      <alignment horizontal="center"/>
    </xf>
    <xf numFmtId="0" fontId="3" fillId="2" borderId="0" xfId="49" applyFont="1" applyFill="1" applyBorder="1"/>
    <xf numFmtId="0" fontId="1" fillId="2" borderId="0" xfId="49" applyFont="1" applyFill="1" applyBorder="1"/>
    <xf numFmtId="178" fontId="1" fillId="2" borderId="0" xfId="49" applyNumberFormat="1" applyFont="1" applyFill="1" applyBorder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5" fillId="2" borderId="1" xfId="49" applyFont="1" applyFill="1" applyBorder="1" applyAlignment="1">
      <alignment vertical="top"/>
    </xf>
    <xf numFmtId="0" fontId="4" fillId="2" borderId="0" xfId="0" applyFont="1" applyFill="1"/>
    <xf numFmtId="0" fontId="5" fillId="2" borderId="0" xfId="49" applyFont="1" applyFill="1" applyBorder="1"/>
    <xf numFmtId="0" fontId="1" fillId="2" borderId="0" xfId="0" applyFont="1" applyFill="1" applyBorder="1"/>
    <xf numFmtId="0" fontId="1" fillId="2" borderId="3" xfId="0" applyFont="1" applyFill="1" applyBorder="1" applyAlignment="1"/>
    <xf numFmtId="0" fontId="6" fillId="3" borderId="4" xfId="0" applyNumberFormat="1" applyFont="1" applyFill="1" applyBorder="1" applyAlignment="1">
      <alignment horizontal="center"/>
    </xf>
    <xf numFmtId="0" fontId="6" fillId="3" borderId="5" xfId="0" applyNumberFormat="1" applyFont="1" applyFill="1" applyBorder="1" applyAlignment="1">
      <alignment horizontal="center"/>
    </xf>
    <xf numFmtId="0" fontId="6" fillId="3" borderId="5" xfId="0" applyNumberFormat="1" applyFont="1" applyFill="1" applyBorder="1" applyAlignment="1">
      <alignment horizontal="center" wrapText="1"/>
    </xf>
    <xf numFmtId="0" fontId="6" fillId="3" borderId="6" xfId="0" applyNumberFormat="1" applyFont="1" applyFill="1" applyBorder="1" applyAlignment="1">
      <alignment horizontal="center"/>
    </xf>
    <xf numFmtId="0" fontId="6" fillId="3" borderId="7" xfId="0" applyNumberFormat="1" applyFont="1" applyFill="1" applyBorder="1" applyAlignment="1">
      <alignment horizontal="center" wrapText="1"/>
    </xf>
    <xf numFmtId="0" fontId="1" fillId="2" borderId="3" xfId="0" applyFont="1" applyFill="1" applyBorder="1"/>
    <xf numFmtId="0" fontId="1" fillId="2" borderId="8" xfId="0" applyNumberFormat="1" applyFont="1" applyFill="1" applyBorder="1" applyAlignment="1">
      <alignment horizontal="center"/>
    </xf>
    <xf numFmtId="0" fontId="1" fillId="2" borderId="9" xfId="0" applyNumberFormat="1" applyFont="1" applyFill="1" applyBorder="1"/>
    <xf numFmtId="0" fontId="1" fillId="2" borderId="9" xfId="0" applyNumberFormat="1" applyFont="1" applyFill="1" applyBorder="1" applyAlignment="1">
      <alignment horizontal="center"/>
    </xf>
    <xf numFmtId="0" fontId="1" fillId="2" borderId="10" xfId="0" applyNumberFormat="1" applyFont="1" applyFill="1" applyBorder="1" applyAlignment="1">
      <alignment horizontal="center"/>
    </xf>
    <xf numFmtId="0" fontId="1" fillId="2" borderId="11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left"/>
    </xf>
    <xf numFmtId="0" fontId="7" fillId="3" borderId="12" xfId="0" applyNumberFormat="1" applyFont="1" applyFill="1" applyBorder="1" applyAlignment="1">
      <alignment horizontal="center"/>
    </xf>
    <xf numFmtId="0" fontId="6" fillId="3" borderId="13" xfId="0" applyFont="1" applyFill="1" applyBorder="1"/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2" fontId="8" fillId="2" borderId="0" xfId="0" applyNumberFormat="1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3" fillId="5" borderId="15" xfId="0" applyFont="1" applyFill="1" applyBorder="1"/>
    <xf numFmtId="0" fontId="14" fillId="0" borderId="15" xfId="6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6" fillId="0" borderId="0" xfId="0" applyFont="1" applyBorder="1"/>
    <xf numFmtId="0" fontId="9" fillId="2" borderId="0" xfId="0" applyFont="1" applyFill="1" applyAlignment="1"/>
    <xf numFmtId="0" fontId="9" fillId="2" borderId="0" xfId="0" applyFont="1" applyFill="1" applyAlignment="1">
      <alignment vertical="top"/>
    </xf>
    <xf numFmtId="0" fontId="9" fillId="0" borderId="0" xfId="0" applyFont="1" applyFill="1" applyAlignment="1"/>
    <xf numFmtId="0" fontId="1" fillId="2" borderId="0" xfId="0" applyFont="1" applyFill="1" applyAlignment="1"/>
    <xf numFmtId="0" fontId="17" fillId="2" borderId="0" xfId="0" applyFont="1" applyFill="1"/>
    <xf numFmtId="0" fontId="9" fillId="2" borderId="16" xfId="0" applyFont="1" applyFill="1" applyBorder="1" applyAlignment="1"/>
    <xf numFmtId="0" fontId="9" fillId="2" borderId="16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3" fillId="2" borderId="0" xfId="0" applyFont="1" applyFill="1" applyAlignment="1" applyProtection="1">
      <alignment wrapText="1"/>
    </xf>
    <xf numFmtId="0" fontId="1" fillId="2" borderId="0" xfId="0" applyFont="1" applyFill="1" applyAlignment="1">
      <alignment wrapText="1"/>
    </xf>
    <xf numFmtId="0" fontId="3" fillId="2" borderId="17" xfId="50" applyFont="1" applyFill="1" applyBorder="1" applyAlignment="1">
      <alignment horizontal="left" wrapText="1"/>
    </xf>
    <xf numFmtId="0" fontId="5" fillId="2" borderId="18" xfId="50" applyFont="1" applyFill="1" applyBorder="1" applyAlignment="1">
      <alignment horizontal="left" wrapText="1"/>
    </xf>
    <xf numFmtId="0" fontId="1" fillId="2" borderId="0" xfId="0" applyFont="1" applyFill="1" applyAlignment="1" applyProtection="1">
      <alignment wrapText="1"/>
    </xf>
    <xf numFmtId="0" fontId="3" fillId="2" borderId="19" xfId="50" applyFont="1" applyFill="1" applyBorder="1" applyAlignment="1">
      <alignment horizontal="left" wrapText="1"/>
    </xf>
    <xf numFmtId="0" fontId="5" fillId="2" borderId="20" xfId="50" applyFont="1" applyFill="1" applyBorder="1" applyAlignment="1">
      <alignment horizontal="left" wrapText="1"/>
    </xf>
    <xf numFmtId="0" fontId="18" fillId="2" borderId="19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6" fillId="3" borderId="26" xfId="50" applyFont="1" applyFill="1" applyBorder="1" applyAlignment="1">
      <alignment horizontal="center" vertical="center" wrapText="1"/>
    </xf>
    <xf numFmtId="0" fontId="6" fillId="3" borderId="27" xfId="5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vertical="center" wrapText="1"/>
    </xf>
    <xf numFmtId="0" fontId="17" fillId="2" borderId="0" xfId="0" applyFont="1" applyFill="1" applyAlignment="1">
      <alignment wrapText="1"/>
    </xf>
    <xf numFmtId="0" fontId="18" fillId="2" borderId="0" xfId="0" applyFont="1" applyFill="1" applyAlignment="1"/>
    <xf numFmtId="0" fontId="17" fillId="2" borderId="0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vertical="center"/>
    </xf>
    <xf numFmtId="0" fontId="19" fillId="2" borderId="0" xfId="50" applyFont="1" applyFill="1" applyBorder="1" applyAlignment="1">
      <alignment horizontal="center" vertical="center" wrapText="1"/>
    </xf>
    <xf numFmtId="0" fontId="19" fillId="2" borderId="0" xfId="5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top" wrapText="1"/>
    </xf>
    <xf numFmtId="0" fontId="17" fillId="2" borderId="0" xfId="0" applyFont="1" applyFill="1" applyBorder="1"/>
    <xf numFmtId="0" fontId="6" fillId="3" borderId="15" xfId="50" applyFont="1" applyFill="1" applyBorder="1" applyAlignment="1">
      <alignment horizontal="center" vertical="center" wrapText="1"/>
    </xf>
    <xf numFmtId="0" fontId="19" fillId="0" borderId="0" xfId="5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2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1" fontId="4" fillId="2" borderId="21" xfId="0" applyNumberFormat="1" applyFont="1" applyFill="1" applyBorder="1" applyAlignment="1"/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0" xfId="0" applyNumberFormat="1" applyFont="1" applyFill="1" applyBorder="1" applyAlignment="1"/>
    <xf numFmtId="0" fontId="1" fillId="2" borderId="0" xfId="0" applyFont="1" applyFill="1" applyBorder="1" applyAlignment="1"/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1" fontId="6" fillId="6" borderId="29" xfId="0" applyNumberFormat="1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vertical="center"/>
    </xf>
    <xf numFmtId="0" fontId="0" fillId="0" borderId="15" xfId="0" applyBorder="1"/>
    <xf numFmtId="0" fontId="20" fillId="2" borderId="15" xfId="6" applyNumberFormat="1" applyFont="1" applyFill="1" applyBorder="1" applyAlignment="1" applyProtection="1">
      <alignment horizontal="left" vertical="center"/>
    </xf>
    <xf numFmtId="0" fontId="21" fillId="2" borderId="15" xfId="6" applyNumberFormat="1" applyFont="1" applyFill="1" applyBorder="1" applyAlignment="1" applyProtection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22" fillId="2" borderId="15" xfId="6" applyNumberFormat="1" applyFill="1" applyBorder="1" applyAlignment="1" applyProtection="1">
      <alignment horizontal="left" vertical="center"/>
    </xf>
    <xf numFmtId="1" fontId="1" fillId="2" borderId="33" xfId="0" applyNumberFormat="1" applyFont="1" applyFill="1" applyBorder="1" applyAlignment="1">
      <alignment vertical="center"/>
    </xf>
    <xf numFmtId="0" fontId="0" fillId="0" borderId="33" xfId="0" applyBorder="1"/>
    <xf numFmtId="0" fontId="22" fillId="2" borderId="33" xfId="6" applyNumberFormat="1" applyFill="1" applyBorder="1" applyAlignment="1" applyProtection="1">
      <alignment horizontal="left" vertical="center"/>
    </xf>
    <xf numFmtId="0" fontId="21" fillId="2" borderId="33" xfId="6" applyNumberFormat="1" applyFont="1" applyFill="1" applyBorder="1" applyAlignment="1" applyProtection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1" fontId="1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left" vertical="center"/>
    </xf>
    <xf numFmtId="0" fontId="21" fillId="2" borderId="0" xfId="6" applyNumberFormat="1" applyFont="1" applyFill="1" applyBorder="1" applyAlignment="1" applyProtection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23" fillId="2" borderId="0" xfId="0" applyFont="1" applyFill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1" xfId="0" applyFont="1" applyBorder="1" applyAlignment="1">
      <alignment horizontal="left"/>
    </xf>
    <xf numFmtId="0" fontId="1" fillId="0" borderId="2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indent="1"/>
    </xf>
    <xf numFmtId="0" fontId="4" fillId="2" borderId="0" xfId="0" applyFont="1" applyFill="1" applyBorder="1"/>
    <xf numFmtId="0" fontId="5" fillId="0" borderId="0" xfId="0" applyFont="1" applyBorder="1" applyAlignment="1">
      <alignment horizontal="left"/>
    </xf>
    <xf numFmtId="0" fontId="1" fillId="0" borderId="0" xfId="0" applyFont="1" applyBorder="1" applyAlignment="1"/>
    <xf numFmtId="0" fontId="4" fillId="2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1" fillId="0" borderId="0" xfId="0" applyFont="1" applyBorder="1"/>
    <xf numFmtId="0" fontId="4" fillId="0" borderId="0" xfId="0" applyFont="1" applyAlignment="1">
      <alignment horizontal="left"/>
    </xf>
    <xf numFmtId="178" fontId="6" fillId="3" borderId="3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5" fillId="0" borderId="36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5" fillId="0" borderId="37" xfId="0" applyFont="1" applyBorder="1" applyAlignment="1">
      <alignment vertical="top" wrapText="1"/>
    </xf>
    <xf numFmtId="178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178" fontId="1" fillId="0" borderId="38" xfId="0" applyNumberFormat="1" applyFont="1" applyBorder="1" applyAlignment="1">
      <alignment vertical="top"/>
    </xf>
    <xf numFmtId="49" fontId="1" fillId="0" borderId="13" xfId="0" applyNumberFormat="1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39" xfId="0" applyFont="1" applyBorder="1" applyAlignment="1">
      <alignment vertical="top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" xfId="50"/>
    <cellStyle name="標準_結合試験(AllOvertheWorld)" xfId="51"/>
  </cellStyles>
  <tableStyles count="1" defaultTableStyle="TableStyleMedium9" defaultPivotStyle="PivotStyleLight16">
    <tableStyle name="Invisible" pivot="0" table="0" count="0" xr9:uid="{35019803-4F25-431B-B1F7-3293180707E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use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workbookViewId="0">
      <selection activeCell="A1" sqref="A1"/>
    </sheetView>
  </sheetViews>
  <sheetFormatPr defaultColWidth="9" defaultRowHeight="13.2" outlineLevelCol="6"/>
  <cols>
    <col min="1" max="1" width="2.16666666666667" style="125" customWidth="1"/>
    <col min="2" max="2" width="19.6666666666667" style="126" customWidth="1"/>
    <col min="3" max="3" width="9.16666666666667" style="125" customWidth="1"/>
    <col min="4" max="4" width="14.5" style="125" customWidth="1"/>
    <col min="5" max="5" width="8" style="125" customWidth="1"/>
    <col min="6" max="6" width="31.1666666666667" style="125" customWidth="1"/>
    <col min="7" max="7" width="31" style="125" customWidth="1"/>
    <col min="8" max="16384" width="9" style="125"/>
  </cols>
  <sheetData>
    <row r="2" s="122" customFormat="1" ht="75.75" customHeight="1" spans="1:7">
      <c r="A2" s="127"/>
      <c r="B2" s="128"/>
      <c r="C2" s="129" t="s">
        <v>0</v>
      </c>
      <c r="D2" s="129"/>
      <c r="E2" s="129"/>
      <c r="F2" s="129"/>
      <c r="G2" s="129"/>
    </row>
    <row r="3" spans="2:6">
      <c r="B3" s="130"/>
      <c r="C3" s="131"/>
      <c r="F3" s="1"/>
    </row>
    <row r="4" ht="14.25" customHeight="1" spans="2:7">
      <c r="B4" s="8" t="s">
        <v>1</v>
      </c>
      <c r="C4" s="132" t="s">
        <v>2</v>
      </c>
      <c r="D4" s="132"/>
      <c r="E4" s="132"/>
      <c r="F4" s="8" t="s">
        <v>3</v>
      </c>
      <c r="G4" s="133"/>
    </row>
    <row r="5" ht="14.25" customHeight="1" spans="2:7">
      <c r="B5" s="8" t="s">
        <v>4</v>
      </c>
      <c r="C5" s="132" t="s">
        <v>5</v>
      </c>
      <c r="D5" s="132"/>
      <c r="E5" s="132"/>
      <c r="F5" s="8" t="s">
        <v>6</v>
      </c>
      <c r="G5" s="133"/>
    </row>
    <row r="6" ht="15.75" customHeight="1" spans="2:7">
      <c r="B6" s="6" t="s">
        <v>7</v>
      </c>
      <c r="C6" s="134" t="str">
        <f>C5&amp;"_"&amp;"XXX"&amp;"_"&amp;"vx.x"</f>
        <v>&lt;Project Code&gt;_XXX_vx.x</v>
      </c>
      <c r="D6" s="134"/>
      <c r="E6" s="134"/>
      <c r="F6" s="8" t="s">
        <v>8</v>
      </c>
      <c r="G6" s="135"/>
    </row>
    <row r="7" ht="13.5" customHeight="1" spans="2:7">
      <c r="B7" s="6"/>
      <c r="C7" s="134"/>
      <c r="D7" s="134"/>
      <c r="E7" s="134"/>
      <c r="F7" s="8" t="s">
        <v>9</v>
      </c>
      <c r="G7" s="135"/>
    </row>
    <row r="8" spans="2:7">
      <c r="B8" s="136"/>
      <c r="C8" s="137"/>
      <c r="D8" s="138"/>
      <c r="E8" s="138"/>
      <c r="F8" s="139"/>
      <c r="G8" s="140"/>
    </row>
    <row r="9" spans="2:6">
      <c r="B9" s="141"/>
      <c r="C9" s="142"/>
      <c r="D9" s="142"/>
      <c r="E9" s="142"/>
      <c r="F9" s="142"/>
    </row>
    <row r="10" spans="2:2">
      <c r="B10" s="143" t="s">
        <v>10</v>
      </c>
    </row>
    <row r="11" s="123" customFormat="1" spans="2:7">
      <c r="B11" s="144" t="s">
        <v>11</v>
      </c>
      <c r="C11" s="145" t="s">
        <v>9</v>
      </c>
      <c r="D11" s="145" t="s">
        <v>12</v>
      </c>
      <c r="E11" s="145" t="s">
        <v>13</v>
      </c>
      <c r="F11" s="145" t="s">
        <v>14</v>
      </c>
      <c r="G11" s="146" t="s">
        <v>15</v>
      </c>
    </row>
    <row r="12" s="124" customFormat="1" ht="39.6" spans="2:7">
      <c r="B12" s="147" t="s">
        <v>16</v>
      </c>
      <c r="C12" s="148"/>
      <c r="D12" s="149"/>
      <c r="E12" s="149"/>
      <c r="F12" s="150"/>
      <c r="G12" s="151" t="s">
        <v>17</v>
      </c>
    </row>
    <row r="13" s="124" customFormat="1" ht="21.75" customHeight="1" spans="2:7">
      <c r="B13" s="152"/>
      <c r="C13" s="148"/>
      <c r="D13" s="149"/>
      <c r="E13" s="149"/>
      <c r="F13" s="149"/>
      <c r="G13" s="153"/>
    </row>
    <row r="14" s="124" customFormat="1" ht="19.5" customHeight="1" spans="2:7">
      <c r="B14" s="152"/>
      <c r="C14" s="148"/>
      <c r="D14" s="149"/>
      <c r="E14" s="149"/>
      <c r="F14" s="149"/>
      <c r="G14" s="153"/>
    </row>
    <row r="15" s="124" customFormat="1" ht="21.75" customHeight="1" spans="2:7">
      <c r="B15" s="152"/>
      <c r="C15" s="148"/>
      <c r="D15" s="149"/>
      <c r="E15" s="149"/>
      <c r="F15" s="149"/>
      <c r="G15" s="153"/>
    </row>
    <row r="16" s="124" customFormat="1" ht="19.5" customHeight="1" spans="2:7">
      <c r="B16" s="152"/>
      <c r="C16" s="148"/>
      <c r="D16" s="149"/>
      <c r="E16" s="149"/>
      <c r="F16" s="149"/>
      <c r="G16" s="153"/>
    </row>
    <row r="17" s="124" customFormat="1" ht="21.75" customHeight="1" spans="2:7">
      <c r="B17" s="152"/>
      <c r="C17" s="148"/>
      <c r="D17" s="149"/>
      <c r="E17" s="149"/>
      <c r="F17" s="149"/>
      <c r="G17" s="153"/>
    </row>
    <row r="18" s="124" customFormat="1" ht="19.5" customHeight="1" spans="2:7">
      <c r="B18" s="154"/>
      <c r="C18" s="155"/>
      <c r="D18" s="156"/>
      <c r="E18" s="156"/>
      <c r="F18" s="156"/>
      <c r="G18" s="157"/>
    </row>
  </sheetData>
  <mergeCells count="5">
    <mergeCell ref="C2:G2"/>
    <mergeCell ref="C4:E4"/>
    <mergeCell ref="C5:E5"/>
    <mergeCell ref="B6:B7"/>
    <mergeCell ref="C6:E7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zoomScale="138" zoomScaleNormal="138" topLeftCell="A4" workbookViewId="0">
      <selection activeCell="E15" sqref="E15"/>
    </sheetView>
  </sheetViews>
  <sheetFormatPr defaultColWidth="9" defaultRowHeight="13.2" outlineLevelCol="5"/>
  <cols>
    <col min="1" max="1" width="1.33333333333333" style="1" customWidth="1"/>
    <col min="2" max="2" width="11.8333333333333" style="90" customWidth="1"/>
    <col min="3" max="3" width="26.5" style="91" customWidth="1"/>
    <col min="4" max="4" width="17.1666666666667" style="91" customWidth="1"/>
    <col min="5" max="5" width="28.1666666666667" style="91" customWidth="1"/>
    <col min="6" max="6" width="30.6666666666667" style="91" customWidth="1"/>
    <col min="7" max="16384" width="9" style="1"/>
  </cols>
  <sheetData>
    <row r="1" ht="24.6" spans="2:5">
      <c r="B1" s="92"/>
      <c r="D1" s="93" t="s">
        <v>18</v>
      </c>
      <c r="E1" s="94"/>
    </row>
    <row r="2" ht="13.5" customHeight="1" spans="2:5">
      <c r="B2" s="92"/>
      <c r="D2" s="95"/>
      <c r="E2" s="95"/>
    </row>
    <row r="3" spans="2:6">
      <c r="B3" s="96" t="s">
        <v>1</v>
      </c>
      <c r="C3" s="96"/>
      <c r="D3" s="7" t="str">
        <f>Cover!C4</f>
        <v>&lt;Project Name&gt;</v>
      </c>
      <c r="E3" s="7"/>
      <c r="F3" s="7"/>
    </row>
    <row r="4" spans="2:6">
      <c r="B4" s="96" t="s">
        <v>4</v>
      </c>
      <c r="C4" s="96"/>
      <c r="D4" s="7" t="str">
        <f>Cover!C5</f>
        <v>&lt;Project Code&gt;</v>
      </c>
      <c r="E4" s="7"/>
      <c r="F4" s="7"/>
    </row>
    <row r="5" s="60" customFormat="1" ht="84.75" customHeight="1" spans="2:6">
      <c r="B5" s="97" t="s">
        <v>19</v>
      </c>
      <c r="C5" s="97"/>
      <c r="D5" s="98" t="s">
        <v>20</v>
      </c>
      <c r="E5" s="98"/>
      <c r="F5" s="98"/>
    </row>
    <row r="6" spans="2:6">
      <c r="B6" s="99"/>
      <c r="C6" s="100"/>
      <c r="D6" s="100"/>
      <c r="E6" s="100"/>
      <c r="F6" s="100"/>
    </row>
    <row r="7" s="88" customFormat="1" spans="2:6">
      <c r="B7" s="101"/>
      <c r="C7" s="102"/>
      <c r="D7" s="102"/>
      <c r="E7" s="102"/>
      <c r="F7" s="102"/>
    </row>
    <row r="8" s="89" customFormat="1" ht="21" customHeight="1" spans="2:6">
      <c r="B8" s="103" t="s">
        <v>21</v>
      </c>
      <c r="C8" s="104" t="s">
        <v>22</v>
      </c>
      <c r="D8" s="104" t="s">
        <v>23</v>
      </c>
      <c r="E8" s="105" t="s">
        <v>24</v>
      </c>
      <c r="F8" s="106" t="s">
        <v>25</v>
      </c>
    </row>
    <row r="9" spans="2:6">
      <c r="B9" s="107">
        <v>1</v>
      </c>
      <c r="C9" s="108" t="s">
        <v>26</v>
      </c>
      <c r="D9" s="109" t="s">
        <v>27</v>
      </c>
      <c r="E9" s="110"/>
      <c r="F9" s="111"/>
    </row>
    <row r="10" spans="2:6">
      <c r="B10" s="107">
        <v>2</v>
      </c>
      <c r="C10" s="108" t="s">
        <v>28</v>
      </c>
      <c r="D10" s="112" t="s">
        <v>29</v>
      </c>
      <c r="E10" s="110"/>
      <c r="F10" s="111"/>
    </row>
    <row r="11" spans="2:6">
      <c r="B11" s="113">
        <v>3</v>
      </c>
      <c r="C11" s="114" t="s">
        <v>30</v>
      </c>
      <c r="D11" s="115" t="s">
        <v>31</v>
      </c>
      <c r="E11" s="116"/>
      <c r="F11" s="117"/>
    </row>
    <row r="12" spans="2:6">
      <c r="B12" s="118"/>
      <c r="C12" s="119"/>
      <c r="D12" s="120"/>
      <c r="E12" s="120"/>
      <c r="F12" s="121"/>
    </row>
    <row r="13" spans="2:6">
      <c r="B13" s="118"/>
      <c r="C13" s="119"/>
      <c r="D13" s="120"/>
      <c r="E13" s="120"/>
      <c r="F13" s="121"/>
    </row>
    <row r="14" spans="2:6">
      <c r="B14" s="118"/>
      <c r="C14" s="119"/>
      <c r="D14" s="121"/>
      <c r="E14" s="121"/>
      <c r="F14" s="121"/>
    </row>
    <row r="15" spans="2:6">
      <c r="B15" s="118"/>
      <c r="C15" s="119"/>
      <c r="D15" s="121"/>
      <c r="E15" s="121"/>
      <c r="F15" s="121"/>
    </row>
    <row r="16" spans="2:6">
      <c r="B16" s="118"/>
      <c r="C16" s="119"/>
      <c r="D16" s="121"/>
      <c r="E16" s="121"/>
      <c r="F16" s="121"/>
    </row>
    <row r="17" spans="2:6">
      <c r="B17" s="118"/>
      <c r="C17" s="119"/>
      <c r="D17" s="121"/>
      <c r="E17" s="121"/>
      <c r="F17" s="121"/>
    </row>
    <row r="18" spans="2:6">
      <c r="B18" s="118"/>
      <c r="C18" s="119"/>
      <c r="D18" s="121"/>
      <c r="E18" s="121"/>
      <c r="F18" s="121"/>
    </row>
    <row r="19" spans="2:6">
      <c r="B19" s="118"/>
      <c r="C19" s="119"/>
      <c r="D19" s="121"/>
      <c r="E19" s="121"/>
      <c r="F19" s="121"/>
    </row>
    <row r="20" spans="2:6">
      <c r="B20" s="118"/>
      <c r="C20" s="119"/>
      <c r="D20" s="121"/>
      <c r="E20" s="121"/>
      <c r="F20" s="121"/>
    </row>
    <row r="21" spans="2:6">
      <c r="B21" s="118"/>
      <c r="C21" s="119"/>
      <c r="D21" s="121"/>
      <c r="E21" s="121"/>
      <c r="F21" s="121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odule1!B10" display="Module1"/>
    <hyperlink ref="D11" location="Module3!B17" display="Module3"/>
    <hyperlink ref="D10" location="Module2!A1" display="Module2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zoomScale="84" zoomScaleNormal="84" workbookViewId="0">
      <pane ySplit="8" topLeftCell="A24" activePane="bottomLeft" state="frozen"/>
      <selection/>
      <selection pane="bottomLeft" activeCell="F6" sqref="F6:G6"/>
    </sheetView>
  </sheetViews>
  <sheetFormatPr defaultColWidth="9" defaultRowHeight="13.2"/>
  <cols>
    <col min="1" max="1" width="14.3333333333333" style="1" customWidth="1"/>
    <col min="2" max="2" width="19.1666666666667" style="1" customWidth="1"/>
    <col min="3" max="3" width="25.1111111111111" style="1" customWidth="1"/>
    <col min="4" max="4" width="32.1666666666667" style="1" customWidth="1"/>
    <col min="5" max="5" width="28.5" style="1" customWidth="1"/>
    <col min="6" max="6" width="19.7037037037037" style="1" customWidth="1"/>
    <col min="7" max="7" width="7.16666666666667" style="1" customWidth="1"/>
    <col min="8" max="8" width="14.8333333333333" style="54" customWidth="1"/>
    <col min="9" max="9" width="31.8333333333333" style="1" customWidth="1"/>
    <col min="10" max="10" width="8.16666666666667" style="55" customWidth="1"/>
    <col min="11" max="11" width="9" style="1" hidden="1" customWidth="1"/>
    <col min="12" max="16384" width="9" style="1"/>
  </cols>
  <sheetData>
    <row r="1" s="51" customFormat="1" ht="15.45" customHeight="1" spans="1:10">
      <c r="A1" s="56"/>
      <c r="B1" s="57"/>
      <c r="C1" s="57"/>
      <c r="D1" s="57"/>
      <c r="E1" s="57"/>
      <c r="F1" s="57"/>
      <c r="G1" s="58"/>
      <c r="H1" s="59"/>
      <c r="I1" s="60"/>
      <c r="J1" s="78"/>
    </row>
    <row r="2" s="51" customFormat="1" ht="15" customHeight="1" spans="1:11">
      <c r="A2" s="61" t="s">
        <v>32</v>
      </c>
      <c r="B2" s="62" t="s">
        <v>33</v>
      </c>
      <c r="C2" s="62"/>
      <c r="D2" s="62"/>
      <c r="E2" s="62"/>
      <c r="F2" s="62"/>
      <c r="G2" s="62"/>
      <c r="H2" s="63"/>
      <c r="I2" s="60"/>
      <c r="J2" s="78"/>
      <c r="K2" s="51" t="s">
        <v>34</v>
      </c>
    </row>
    <row r="3" s="51" customFormat="1" ht="26.4" customHeight="1" spans="1:11">
      <c r="A3" s="64" t="s">
        <v>35</v>
      </c>
      <c r="B3" s="62" t="s">
        <v>36</v>
      </c>
      <c r="C3" s="62"/>
      <c r="D3" s="62"/>
      <c r="E3" s="62"/>
      <c r="F3" s="62"/>
      <c r="G3" s="62"/>
      <c r="H3" s="63"/>
      <c r="I3" s="60"/>
      <c r="J3" s="78"/>
      <c r="K3" s="51" t="s">
        <v>37</v>
      </c>
    </row>
    <row r="4" s="51" customFormat="1" ht="18" customHeight="1" spans="1:11">
      <c r="A4" s="61" t="s">
        <v>38</v>
      </c>
      <c r="B4" s="65"/>
      <c r="C4" s="65"/>
      <c r="D4" s="65"/>
      <c r="E4" s="65"/>
      <c r="F4" s="65"/>
      <c r="G4" s="65"/>
      <c r="H4" s="63"/>
      <c r="I4" s="60"/>
      <c r="J4" s="78"/>
      <c r="K4" s="79"/>
    </row>
    <row r="5" s="51" customFormat="1" ht="19.5" customHeight="1" spans="1:11">
      <c r="A5" s="66" t="s">
        <v>34</v>
      </c>
      <c r="B5" s="67" t="s">
        <v>37</v>
      </c>
      <c r="C5" s="67"/>
      <c r="D5" s="67" t="s">
        <v>39</v>
      </c>
      <c r="E5" s="68" t="s">
        <v>40</v>
      </c>
      <c r="F5" s="69" t="s">
        <v>41</v>
      </c>
      <c r="G5" s="69"/>
      <c r="H5" s="70"/>
      <c r="I5" s="70"/>
      <c r="J5" s="80"/>
      <c r="K5" s="51" t="s">
        <v>42</v>
      </c>
    </row>
    <row r="6" s="51" customFormat="1" ht="15" customHeight="1" spans="1:11">
      <c r="A6" s="71">
        <f>COUNTIF(G9:G997,"Pass")</f>
        <v>10</v>
      </c>
      <c r="B6" s="72">
        <f>COUNTIF(G9:G997,"Fail")</f>
        <v>0</v>
      </c>
      <c r="C6" s="72"/>
      <c r="D6" s="72">
        <v>0</v>
      </c>
      <c r="E6" s="73">
        <f>COUNTIF(G$9:G$997,"N/A")</f>
        <v>0</v>
      </c>
      <c r="F6" s="74">
        <v>10</v>
      </c>
      <c r="G6" s="74"/>
      <c r="H6" s="70"/>
      <c r="I6" s="70"/>
      <c r="J6" s="80"/>
      <c r="K6" s="51" t="s">
        <v>40</v>
      </c>
    </row>
    <row r="7" s="51" customFormat="1" ht="15" customHeight="1" spans="5:10">
      <c r="E7" s="39"/>
      <c r="F7" s="39"/>
      <c r="G7" s="70"/>
      <c r="H7" s="70"/>
      <c r="I7" s="70"/>
      <c r="J7" s="80"/>
    </row>
    <row r="8" s="51" customFormat="1" ht="30" customHeight="1" spans="1:10">
      <c r="A8" s="86" t="s">
        <v>43</v>
      </c>
      <c r="B8" s="86" t="s">
        <v>44</v>
      </c>
      <c r="C8" s="86" t="s">
        <v>45</v>
      </c>
      <c r="D8" s="86" t="s">
        <v>46</v>
      </c>
      <c r="E8" s="86" t="s">
        <v>47</v>
      </c>
      <c r="F8" s="86" t="s">
        <v>48</v>
      </c>
      <c r="G8" s="86" t="s">
        <v>49</v>
      </c>
      <c r="H8" s="86" t="s">
        <v>48</v>
      </c>
      <c r="I8" s="86" t="s">
        <v>24</v>
      </c>
      <c r="J8" s="82"/>
    </row>
    <row r="9" s="52" customFormat="1" ht="21" customHeight="1" spans="1:10">
      <c r="A9" s="77" t="s">
        <v>50</v>
      </c>
      <c r="B9" s="77" t="s">
        <v>51</v>
      </c>
      <c r="C9" s="77" t="s">
        <v>52</v>
      </c>
      <c r="D9" s="77" t="s">
        <v>53</v>
      </c>
      <c r="E9" s="77" t="s">
        <v>54</v>
      </c>
      <c r="F9" s="77" t="s">
        <v>40</v>
      </c>
      <c r="G9" s="77" t="s">
        <v>34</v>
      </c>
      <c r="H9" s="77" t="s">
        <v>40</v>
      </c>
      <c r="I9" s="77" t="s">
        <v>55</v>
      </c>
      <c r="J9" s="84"/>
    </row>
    <row r="10" s="52" customFormat="1" ht="18" customHeight="1" spans="1:10">
      <c r="A10" s="77"/>
      <c r="B10" s="77"/>
      <c r="C10" s="77"/>
      <c r="D10" s="77" t="s">
        <v>56</v>
      </c>
      <c r="E10" s="77"/>
      <c r="F10" s="77"/>
      <c r="G10" s="77"/>
      <c r="H10" s="77"/>
      <c r="I10" s="77"/>
      <c r="J10" s="84"/>
    </row>
    <row r="11" ht="22" customHeight="1" spans="1:10">
      <c r="A11" s="77"/>
      <c r="B11" s="77"/>
      <c r="C11" s="77"/>
      <c r="D11" s="77" t="s">
        <v>57</v>
      </c>
      <c r="E11" s="77"/>
      <c r="F11" s="77"/>
      <c r="G11" s="77"/>
      <c r="H11" s="77"/>
      <c r="I11" s="77"/>
      <c r="J11" s="84"/>
    </row>
    <row r="12" ht="38" customHeight="1" spans="1:10">
      <c r="A12" s="77"/>
      <c r="B12" s="77"/>
      <c r="C12" s="77"/>
      <c r="D12" s="77" t="s">
        <v>58</v>
      </c>
      <c r="E12" s="77"/>
      <c r="F12" s="77"/>
      <c r="G12" s="77"/>
      <c r="H12" s="77"/>
      <c r="I12" s="77"/>
      <c r="J12" s="84"/>
    </row>
    <row r="13" ht="37" customHeight="1" spans="1:10">
      <c r="A13" s="77" t="s">
        <v>59</v>
      </c>
      <c r="B13" s="77" t="s">
        <v>60</v>
      </c>
      <c r="C13" s="77" t="s">
        <v>61</v>
      </c>
      <c r="D13" s="77" t="s">
        <v>62</v>
      </c>
      <c r="E13" s="77" t="s">
        <v>63</v>
      </c>
      <c r="F13" s="77" t="s">
        <v>64</v>
      </c>
      <c r="G13" s="77" t="s">
        <v>34</v>
      </c>
      <c r="H13" s="77" t="s">
        <v>65</v>
      </c>
      <c r="I13" s="77" t="s">
        <v>66</v>
      </c>
      <c r="J13" s="84"/>
    </row>
    <row r="14" ht="36" spans="1:10">
      <c r="A14" s="77"/>
      <c r="B14" s="77"/>
      <c r="C14" s="77"/>
      <c r="D14" s="77" t="s">
        <v>67</v>
      </c>
      <c r="E14" s="77"/>
      <c r="F14" s="77"/>
      <c r="G14" s="77"/>
      <c r="H14" s="77"/>
      <c r="I14" s="77"/>
      <c r="J14" s="85"/>
    </row>
    <row r="15" s="53" customFormat="1" ht="27" customHeight="1" spans="1:10">
      <c r="A15" s="77"/>
      <c r="B15" s="77"/>
      <c r="C15" s="77"/>
      <c r="D15" s="77" t="s">
        <v>68</v>
      </c>
      <c r="E15" s="77"/>
      <c r="F15" s="77"/>
      <c r="G15" s="77"/>
      <c r="H15" s="77"/>
      <c r="I15" s="77"/>
      <c r="J15" s="87"/>
    </row>
    <row r="16" s="53" customFormat="1" ht="17" customHeight="1" spans="1:10">
      <c r="A16" s="77"/>
      <c r="B16" s="77"/>
      <c r="C16" s="77"/>
      <c r="D16" s="77" t="s">
        <v>69</v>
      </c>
      <c r="E16" s="77"/>
      <c r="F16" s="77"/>
      <c r="G16" s="77"/>
      <c r="H16" s="77"/>
      <c r="I16" s="77"/>
      <c r="J16" s="87"/>
    </row>
    <row r="17" ht="36" spans="1:10">
      <c r="A17" s="77" t="s">
        <v>70</v>
      </c>
      <c r="B17" s="77" t="s">
        <v>71</v>
      </c>
      <c r="C17" s="77" t="s">
        <v>61</v>
      </c>
      <c r="D17" s="77" t="s">
        <v>62</v>
      </c>
      <c r="E17" s="77" t="s">
        <v>72</v>
      </c>
      <c r="F17" s="77" t="s">
        <v>73</v>
      </c>
      <c r="G17" s="77" t="s">
        <v>34</v>
      </c>
      <c r="H17" s="77" t="s">
        <v>65</v>
      </c>
      <c r="I17" s="77" t="s">
        <v>74</v>
      </c>
      <c r="J17" s="84"/>
    </row>
    <row r="18" ht="18" spans="1:9">
      <c r="A18" s="77"/>
      <c r="B18" s="77"/>
      <c r="C18" s="77"/>
      <c r="D18" s="77" t="s">
        <v>75</v>
      </c>
      <c r="E18" s="77"/>
      <c r="F18" s="77"/>
      <c r="G18" s="77"/>
      <c r="H18" s="77"/>
      <c r="I18" s="77"/>
    </row>
    <row r="19" ht="15" customHeight="1" spans="1:9">
      <c r="A19" s="77"/>
      <c r="B19" s="77"/>
      <c r="C19" s="77"/>
      <c r="D19" s="77" t="s">
        <v>76</v>
      </c>
      <c r="E19" s="77"/>
      <c r="F19" s="77"/>
      <c r="G19" s="77"/>
      <c r="H19" s="77"/>
      <c r="I19" s="77"/>
    </row>
    <row r="20" ht="37" customHeight="1" spans="1:9">
      <c r="A20" s="77" t="s">
        <v>77</v>
      </c>
      <c r="B20" s="77" t="s">
        <v>78</v>
      </c>
      <c r="C20" s="77" t="s">
        <v>61</v>
      </c>
      <c r="D20" s="77" t="s">
        <v>62</v>
      </c>
      <c r="E20" s="77" t="s">
        <v>79</v>
      </c>
      <c r="F20" s="77" t="s">
        <v>80</v>
      </c>
      <c r="G20" s="77" t="s">
        <v>34</v>
      </c>
      <c r="H20" s="77" t="s">
        <v>65</v>
      </c>
      <c r="I20" s="77" t="s">
        <v>81</v>
      </c>
    </row>
    <row r="21" ht="54" spans="1:9">
      <c r="A21" s="77"/>
      <c r="B21" s="77"/>
      <c r="C21" s="77"/>
      <c r="D21" s="77" t="s">
        <v>82</v>
      </c>
      <c r="E21" s="77"/>
      <c r="F21" s="77"/>
      <c r="G21" s="77"/>
      <c r="H21" s="77"/>
      <c r="I21" s="77"/>
    </row>
    <row r="22" ht="17" customHeight="1" spans="1:9">
      <c r="A22" s="77"/>
      <c r="B22" s="77"/>
      <c r="C22" s="77"/>
      <c r="D22" s="77" t="s">
        <v>76</v>
      </c>
      <c r="E22" s="77"/>
      <c r="F22" s="77"/>
      <c r="G22" s="77"/>
      <c r="H22" s="77"/>
      <c r="I22" s="77"/>
    </row>
    <row r="23" ht="36" spans="1:9">
      <c r="A23" s="77" t="s">
        <v>83</v>
      </c>
      <c r="B23" s="77" t="s">
        <v>84</v>
      </c>
      <c r="C23" s="77" t="s">
        <v>61</v>
      </c>
      <c r="D23" s="77" t="s">
        <v>62</v>
      </c>
      <c r="E23" s="77" t="s">
        <v>85</v>
      </c>
      <c r="F23" s="77" t="s">
        <v>86</v>
      </c>
      <c r="G23" s="77" t="s">
        <v>34</v>
      </c>
      <c r="H23" s="77" t="s">
        <v>65</v>
      </c>
      <c r="I23" s="77" t="s">
        <v>87</v>
      </c>
    </row>
    <row r="24" ht="18" spans="1:9">
      <c r="A24" s="77"/>
      <c r="B24" s="77"/>
      <c r="C24" s="77"/>
      <c r="D24" s="77" t="s">
        <v>88</v>
      </c>
      <c r="E24" s="77"/>
      <c r="F24" s="77"/>
      <c r="G24" s="77"/>
      <c r="H24" s="77"/>
      <c r="I24" s="77"/>
    </row>
    <row r="25" ht="18" spans="1:9">
      <c r="A25" s="77"/>
      <c r="B25" s="77"/>
      <c r="C25" s="77"/>
      <c r="D25" s="77" t="s">
        <v>76</v>
      </c>
      <c r="E25" s="77"/>
      <c r="F25" s="77"/>
      <c r="G25" s="77"/>
      <c r="H25" s="77"/>
      <c r="I25" s="77"/>
    </row>
    <row r="26" ht="19" customHeight="1" spans="1:9">
      <c r="A26" s="77"/>
      <c r="B26" s="77"/>
      <c r="C26" s="77"/>
      <c r="D26" s="77" t="s">
        <v>89</v>
      </c>
      <c r="E26" s="77"/>
      <c r="F26" s="77"/>
      <c r="G26" s="77"/>
      <c r="H26" s="77"/>
      <c r="I26" s="77"/>
    </row>
    <row r="27" ht="36" spans="1:9">
      <c r="A27" s="77" t="s">
        <v>90</v>
      </c>
      <c r="B27" s="77" t="s">
        <v>91</v>
      </c>
      <c r="C27" s="77" t="s">
        <v>92</v>
      </c>
      <c r="D27" s="77" t="s">
        <v>93</v>
      </c>
      <c r="E27" s="77" t="s">
        <v>94</v>
      </c>
      <c r="F27" s="77" t="s">
        <v>64</v>
      </c>
      <c r="G27" s="77" t="s">
        <v>34</v>
      </c>
      <c r="H27" s="77" t="s">
        <v>65</v>
      </c>
      <c r="I27" s="77" t="s">
        <v>95</v>
      </c>
    </row>
    <row r="28" ht="18" spans="1:9">
      <c r="A28" s="77"/>
      <c r="B28" s="77"/>
      <c r="C28" s="77"/>
      <c r="D28" s="77" t="s">
        <v>96</v>
      </c>
      <c r="E28" s="77"/>
      <c r="F28" s="77"/>
      <c r="G28" s="77"/>
      <c r="H28" s="77"/>
      <c r="I28" s="77"/>
    </row>
    <row r="29" ht="36" spans="1:9">
      <c r="A29" s="77"/>
      <c r="B29" s="77"/>
      <c r="C29" s="77"/>
      <c r="D29" s="77" t="s">
        <v>97</v>
      </c>
      <c r="E29" s="77"/>
      <c r="F29" s="77"/>
      <c r="G29" s="77"/>
      <c r="H29" s="77"/>
      <c r="I29" s="77"/>
    </row>
    <row r="30" ht="36" customHeight="1" spans="1:9">
      <c r="A30" s="77" t="s">
        <v>98</v>
      </c>
      <c r="B30" s="77" t="s">
        <v>99</v>
      </c>
      <c r="C30" s="77" t="s">
        <v>100</v>
      </c>
      <c r="D30" s="77" t="s">
        <v>101</v>
      </c>
      <c r="E30" s="77" t="s">
        <v>102</v>
      </c>
      <c r="F30" s="77" t="s">
        <v>103</v>
      </c>
      <c r="G30" s="77" t="s">
        <v>34</v>
      </c>
      <c r="H30" s="77" t="s">
        <v>65</v>
      </c>
      <c r="I30" s="77" t="s">
        <v>104</v>
      </c>
    </row>
    <row r="31" ht="36" spans="1:9">
      <c r="A31" s="77"/>
      <c r="B31" s="77"/>
      <c r="C31" s="77"/>
      <c r="D31" s="77" t="s">
        <v>67</v>
      </c>
      <c r="E31" s="77"/>
      <c r="F31" s="77"/>
      <c r="G31" s="77"/>
      <c r="H31" s="77"/>
      <c r="I31" s="77"/>
    </row>
    <row r="32" ht="15" customHeight="1" spans="1:9">
      <c r="A32" s="77"/>
      <c r="B32" s="77"/>
      <c r="C32" s="77"/>
      <c r="D32" s="77" t="s">
        <v>76</v>
      </c>
      <c r="E32" s="77"/>
      <c r="F32" s="77"/>
      <c r="G32" s="77"/>
      <c r="H32" s="77"/>
      <c r="I32" s="77"/>
    </row>
    <row r="33" ht="18" spans="1:9">
      <c r="A33" s="77"/>
      <c r="B33" s="77"/>
      <c r="C33" s="77"/>
      <c r="D33" s="77" t="s">
        <v>105</v>
      </c>
      <c r="E33" s="77"/>
      <c r="F33" s="77"/>
      <c r="G33" s="77"/>
      <c r="H33" s="77"/>
      <c r="I33" s="77"/>
    </row>
    <row r="34" ht="18" spans="1:9">
      <c r="A34" s="77" t="s">
        <v>106</v>
      </c>
      <c r="B34" s="77" t="s">
        <v>107</v>
      </c>
      <c r="C34" s="77" t="s">
        <v>108</v>
      </c>
      <c r="D34" s="77" t="s">
        <v>109</v>
      </c>
      <c r="E34" s="77" t="s">
        <v>110</v>
      </c>
      <c r="F34" s="77" t="s">
        <v>111</v>
      </c>
      <c r="G34" s="77" t="s">
        <v>34</v>
      </c>
      <c r="H34" s="77" t="s">
        <v>65</v>
      </c>
      <c r="I34" s="77" t="s">
        <v>112</v>
      </c>
    </row>
    <row r="35" ht="18" spans="1:9">
      <c r="A35" s="77"/>
      <c r="B35" s="77"/>
      <c r="C35" s="77"/>
      <c r="D35" s="77" t="s">
        <v>113</v>
      </c>
      <c r="E35" s="77"/>
      <c r="F35" s="77"/>
      <c r="G35" s="77"/>
      <c r="H35" s="77"/>
      <c r="I35" s="77"/>
    </row>
    <row r="36" ht="18" spans="1:9">
      <c r="A36" s="77"/>
      <c r="B36" s="77"/>
      <c r="C36" s="77"/>
      <c r="D36" s="77" t="s">
        <v>114</v>
      </c>
      <c r="E36" s="77"/>
      <c r="F36" s="77"/>
      <c r="G36" s="77"/>
      <c r="H36" s="77"/>
      <c r="I36" s="77"/>
    </row>
    <row r="37" ht="18" spans="1:9">
      <c r="A37" s="77"/>
      <c r="B37" s="77"/>
      <c r="C37" s="77"/>
      <c r="D37" s="77" t="s">
        <v>69</v>
      </c>
      <c r="E37" s="77"/>
      <c r="F37" s="77"/>
      <c r="G37" s="77"/>
      <c r="H37" s="77"/>
      <c r="I37" s="77"/>
    </row>
    <row r="38" ht="18" spans="1:9">
      <c r="A38" s="77" t="s">
        <v>115</v>
      </c>
      <c r="B38" s="77" t="s">
        <v>116</v>
      </c>
      <c r="C38" s="77" t="s">
        <v>108</v>
      </c>
      <c r="D38" s="77" t="s">
        <v>109</v>
      </c>
      <c r="E38" s="77" t="s">
        <v>117</v>
      </c>
      <c r="F38" s="77" t="s">
        <v>40</v>
      </c>
      <c r="G38" s="77" t="s">
        <v>34</v>
      </c>
      <c r="H38" s="77" t="s">
        <v>40</v>
      </c>
      <c r="I38" s="77" t="s">
        <v>118</v>
      </c>
    </row>
    <row r="39" ht="36" spans="1:9">
      <c r="A39" s="77"/>
      <c r="B39" s="77"/>
      <c r="C39" s="77"/>
      <c r="D39" s="77" t="s">
        <v>119</v>
      </c>
      <c r="E39" s="77"/>
      <c r="F39" s="77"/>
      <c r="G39" s="77"/>
      <c r="H39" s="77"/>
      <c r="I39" s="77"/>
    </row>
    <row r="40" ht="18" spans="1:9">
      <c r="A40" s="77" t="s">
        <v>120</v>
      </c>
      <c r="B40" s="77" t="s">
        <v>121</v>
      </c>
      <c r="C40" s="77" t="s">
        <v>108</v>
      </c>
      <c r="D40" s="77" t="s">
        <v>109</v>
      </c>
      <c r="E40" s="77" t="s">
        <v>122</v>
      </c>
      <c r="F40" s="77" t="s">
        <v>123</v>
      </c>
      <c r="G40" s="77" t="s">
        <v>34</v>
      </c>
      <c r="H40" s="77" t="s">
        <v>65</v>
      </c>
      <c r="I40" s="77" t="s">
        <v>124</v>
      </c>
    </row>
    <row r="41" ht="18" spans="1:9">
      <c r="A41" s="77"/>
      <c r="B41" s="77"/>
      <c r="C41" s="77"/>
      <c r="D41" s="77" t="s">
        <v>125</v>
      </c>
      <c r="E41" s="77"/>
      <c r="F41" s="77"/>
      <c r="G41" s="77"/>
      <c r="H41" s="77"/>
      <c r="I41" s="77"/>
    </row>
    <row r="42" ht="18" spans="1:9">
      <c r="A42" s="77"/>
      <c r="B42" s="77"/>
      <c r="C42" s="77"/>
      <c r="D42" s="77" t="s">
        <v>126</v>
      </c>
      <c r="E42" s="77"/>
      <c r="F42" s="77"/>
      <c r="G42" s="77"/>
      <c r="H42" s="77"/>
      <c r="I42" s="77"/>
    </row>
    <row r="43" ht="18" spans="1:9">
      <c r="A43" s="77"/>
      <c r="B43" s="77"/>
      <c r="C43" s="77"/>
      <c r="D43" s="77" t="s">
        <v>127</v>
      </c>
      <c r="E43" s="77"/>
      <c r="F43" s="77"/>
      <c r="G43" s="77"/>
      <c r="H43" s="77"/>
      <c r="I43" s="77"/>
    </row>
  </sheetData>
  <mergeCells count="85">
    <mergeCell ref="B2:G2"/>
    <mergeCell ref="B3:G3"/>
    <mergeCell ref="B4:G4"/>
    <mergeCell ref="F5:G5"/>
    <mergeCell ref="F6:G6"/>
    <mergeCell ref="A9:A12"/>
    <mergeCell ref="A13:A16"/>
    <mergeCell ref="A17:A19"/>
    <mergeCell ref="A20:A22"/>
    <mergeCell ref="A23:A26"/>
    <mergeCell ref="A27:A29"/>
    <mergeCell ref="A30:A33"/>
    <mergeCell ref="A34:A37"/>
    <mergeCell ref="A38:A39"/>
    <mergeCell ref="A40:A43"/>
    <mergeCell ref="B9:B12"/>
    <mergeCell ref="B13:B16"/>
    <mergeCell ref="B17:B19"/>
    <mergeCell ref="B20:B22"/>
    <mergeCell ref="B23:B26"/>
    <mergeCell ref="B27:B29"/>
    <mergeCell ref="B30:B33"/>
    <mergeCell ref="B34:B37"/>
    <mergeCell ref="B38:B39"/>
    <mergeCell ref="B40:B43"/>
    <mergeCell ref="C9:C12"/>
    <mergeCell ref="C13:C16"/>
    <mergeCell ref="C17:C19"/>
    <mergeCell ref="C20:C22"/>
    <mergeCell ref="C23:C26"/>
    <mergeCell ref="C27:C29"/>
    <mergeCell ref="C30:C33"/>
    <mergeCell ref="C34:C37"/>
    <mergeCell ref="C38:C39"/>
    <mergeCell ref="C40:C43"/>
    <mergeCell ref="E9:E12"/>
    <mergeCell ref="E13:E16"/>
    <mergeCell ref="E17:E19"/>
    <mergeCell ref="E20:E22"/>
    <mergeCell ref="E23:E26"/>
    <mergeCell ref="E27:E29"/>
    <mergeCell ref="E30:E33"/>
    <mergeCell ref="E34:E37"/>
    <mergeCell ref="E38:E39"/>
    <mergeCell ref="E40:E43"/>
    <mergeCell ref="F9:F12"/>
    <mergeCell ref="F13:F16"/>
    <mergeCell ref="F17:F19"/>
    <mergeCell ref="F20:F22"/>
    <mergeCell ref="F23:F26"/>
    <mergeCell ref="F27:F29"/>
    <mergeCell ref="F30:F33"/>
    <mergeCell ref="F34:F37"/>
    <mergeCell ref="F38:F39"/>
    <mergeCell ref="F40:F43"/>
    <mergeCell ref="G9:G12"/>
    <mergeCell ref="G13:G16"/>
    <mergeCell ref="G17:G19"/>
    <mergeCell ref="G20:G22"/>
    <mergeCell ref="G23:G26"/>
    <mergeCell ref="G27:G29"/>
    <mergeCell ref="G30:G33"/>
    <mergeCell ref="G34:G37"/>
    <mergeCell ref="G38:G39"/>
    <mergeCell ref="G40:G43"/>
    <mergeCell ref="H9:H12"/>
    <mergeCell ref="H13:H16"/>
    <mergeCell ref="H17:H19"/>
    <mergeCell ref="H20:H22"/>
    <mergeCell ref="H23:H26"/>
    <mergeCell ref="H27:H29"/>
    <mergeCell ref="H30:H33"/>
    <mergeCell ref="H34:H37"/>
    <mergeCell ref="H38:H39"/>
    <mergeCell ref="H40:H43"/>
    <mergeCell ref="I9:I12"/>
    <mergeCell ref="I13:I16"/>
    <mergeCell ref="I17:I19"/>
    <mergeCell ref="I20:I22"/>
    <mergeCell ref="I23:I26"/>
    <mergeCell ref="I27:I29"/>
    <mergeCell ref="I30:I33"/>
    <mergeCell ref="I34:I37"/>
    <mergeCell ref="I38:I39"/>
    <mergeCell ref="I40:I43"/>
  </mergeCells>
  <dataValidations count="1">
    <dataValidation type="list" allowBlank="1" showErrorMessage="1" sqref="G1:G3 G7:G8 G44:G144">
      <formula1>$K$2:$K$6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pane ySplit="8" topLeftCell="A12" activePane="bottomLeft" state="frozen"/>
      <selection/>
      <selection pane="bottomLeft" activeCell="A8" sqref="A8:I35"/>
    </sheetView>
  </sheetViews>
  <sheetFormatPr defaultColWidth="9" defaultRowHeight="13.2"/>
  <cols>
    <col min="1" max="1" width="11.5" style="1" customWidth="1"/>
    <col min="2" max="3" width="19.1666666666667" style="1" customWidth="1"/>
    <col min="4" max="4" width="25.6666666666667" style="1" customWidth="1"/>
    <col min="5" max="5" width="30.1666666666667" style="1" customWidth="1"/>
    <col min="6" max="6" width="16.8333333333333" style="1" customWidth="1"/>
    <col min="7" max="7" width="7.16666666666667" style="1" customWidth="1"/>
    <col min="8" max="8" width="9" style="54"/>
    <col min="9" max="9" width="17.6666666666667" style="1" customWidth="1"/>
    <col min="10" max="10" width="8.16666666666667" style="55" customWidth="1"/>
    <col min="11" max="11" width="9" style="1" hidden="1" customWidth="1"/>
    <col min="12" max="16384" width="9" style="1"/>
  </cols>
  <sheetData>
    <row r="1" s="51" customFormat="1" ht="14.7" customHeight="1" spans="1:10">
      <c r="A1" s="56"/>
      <c r="B1" s="57"/>
      <c r="C1" s="57"/>
      <c r="D1" s="57"/>
      <c r="E1" s="57"/>
      <c r="F1" s="57"/>
      <c r="G1" s="58"/>
      <c r="H1" s="59"/>
      <c r="I1" s="60"/>
      <c r="J1" s="78"/>
    </row>
    <row r="2" s="51" customFormat="1" ht="15" customHeight="1" spans="1:11">
      <c r="A2" s="61" t="s">
        <v>32</v>
      </c>
      <c r="B2" s="62" t="s">
        <v>29</v>
      </c>
      <c r="C2" s="62"/>
      <c r="D2" s="62"/>
      <c r="E2" s="62"/>
      <c r="F2" s="62"/>
      <c r="G2" s="62"/>
      <c r="H2" s="63"/>
      <c r="I2" s="60"/>
      <c r="J2" s="78"/>
      <c r="K2" s="51" t="s">
        <v>34</v>
      </c>
    </row>
    <row r="3" s="51" customFormat="1" ht="25.5" customHeight="1" spans="1:11">
      <c r="A3" s="64" t="s">
        <v>35</v>
      </c>
      <c r="B3" s="62" t="s">
        <v>36</v>
      </c>
      <c r="C3" s="62"/>
      <c r="D3" s="62"/>
      <c r="E3" s="62"/>
      <c r="F3" s="62"/>
      <c r="G3" s="62"/>
      <c r="H3" s="63"/>
      <c r="I3" s="60"/>
      <c r="J3" s="78"/>
      <c r="K3" s="51" t="s">
        <v>37</v>
      </c>
    </row>
    <row r="4" s="51" customFormat="1" ht="18" customHeight="1" spans="1:11">
      <c r="A4" s="61" t="s">
        <v>38</v>
      </c>
      <c r="B4" s="65"/>
      <c r="C4" s="65"/>
      <c r="D4" s="65"/>
      <c r="E4" s="65"/>
      <c r="F4" s="65"/>
      <c r="G4" s="65"/>
      <c r="H4" s="63"/>
      <c r="I4" s="60"/>
      <c r="J4" s="78"/>
      <c r="K4" s="79"/>
    </row>
    <row r="5" s="51" customFormat="1" ht="19.5" customHeight="1" spans="1:11">
      <c r="A5" s="66" t="s">
        <v>34</v>
      </c>
      <c r="B5" s="67" t="s">
        <v>37</v>
      </c>
      <c r="C5" s="67"/>
      <c r="D5" s="67" t="s">
        <v>39</v>
      </c>
      <c r="E5" s="68" t="s">
        <v>40</v>
      </c>
      <c r="F5" s="69" t="s">
        <v>41</v>
      </c>
      <c r="G5" s="69"/>
      <c r="H5" s="70"/>
      <c r="I5" s="70"/>
      <c r="J5" s="80"/>
      <c r="K5" s="51" t="s">
        <v>42</v>
      </c>
    </row>
    <row r="6" s="51" customFormat="1" ht="15.75" customHeight="1" spans="1:11">
      <c r="A6" s="81">
        <f>COUNTIF(G10:G998,"Pass")</f>
        <v>8</v>
      </c>
      <c r="B6" s="72">
        <f>COUNTIF(G10:G998,"Fail")</f>
        <v>0</v>
      </c>
      <c r="C6" s="72"/>
      <c r="D6" s="72">
        <f>F6-E6-B6-A6</f>
        <v>0</v>
      </c>
      <c r="E6" s="73">
        <f>COUNTIF(G$10:G$998,"N/A")</f>
        <v>0</v>
      </c>
      <c r="F6" s="74">
        <f>COUNTA(A10:A998)</f>
        <v>8</v>
      </c>
      <c r="G6" s="74"/>
      <c r="H6" s="70"/>
      <c r="I6" s="70"/>
      <c r="J6" s="80"/>
      <c r="K6" s="51" t="s">
        <v>40</v>
      </c>
    </row>
    <row r="7" s="51" customFormat="1" ht="15" customHeight="1" spans="5:10">
      <c r="E7" s="39"/>
      <c r="F7" s="39"/>
      <c r="G7" s="39"/>
      <c r="H7" s="39"/>
      <c r="I7" s="39"/>
      <c r="J7" s="80"/>
    </row>
    <row r="8" s="51" customFormat="1" ht="25.5" customHeight="1" spans="1:10">
      <c r="A8" s="75" t="s">
        <v>43</v>
      </c>
      <c r="B8" s="75" t="s">
        <v>44</v>
      </c>
      <c r="C8" s="76" t="s">
        <v>45</v>
      </c>
      <c r="D8" s="75" t="s">
        <v>46</v>
      </c>
      <c r="E8" s="75" t="s">
        <v>47</v>
      </c>
      <c r="F8" s="75" t="s">
        <v>128</v>
      </c>
      <c r="G8" s="75" t="s">
        <v>49</v>
      </c>
      <c r="H8" s="75" t="s">
        <v>129</v>
      </c>
      <c r="I8" s="75" t="s">
        <v>130</v>
      </c>
      <c r="J8" s="82"/>
    </row>
    <row r="9" s="51" customFormat="1" ht="17" customHeight="1" spans="1:10">
      <c r="A9" s="77" t="s">
        <v>131</v>
      </c>
      <c r="B9" s="77" t="s">
        <v>132</v>
      </c>
      <c r="C9" s="77" t="s">
        <v>133</v>
      </c>
      <c r="D9" s="77" t="s">
        <v>53</v>
      </c>
      <c r="E9" s="77" t="s">
        <v>134</v>
      </c>
      <c r="F9" s="77" t="s">
        <v>40</v>
      </c>
      <c r="G9" s="77" t="s">
        <v>34</v>
      </c>
      <c r="H9" s="77" t="s">
        <v>65</v>
      </c>
      <c r="I9" s="77" t="s">
        <v>135</v>
      </c>
      <c r="J9" s="83"/>
    </row>
    <row r="10" s="52" customFormat="1" ht="18" customHeight="1" spans="1:10">
      <c r="A10" s="77"/>
      <c r="B10" s="77"/>
      <c r="C10" s="77"/>
      <c r="D10" s="77" t="s">
        <v>136</v>
      </c>
      <c r="E10" s="77"/>
      <c r="F10" s="77"/>
      <c r="G10" s="77"/>
      <c r="H10" s="77"/>
      <c r="I10" s="77"/>
      <c r="J10" s="84"/>
    </row>
    <row r="11" ht="54" spans="1:10">
      <c r="A11" s="77"/>
      <c r="B11" s="77"/>
      <c r="C11" s="77"/>
      <c r="D11" s="77" t="s">
        <v>137</v>
      </c>
      <c r="E11" s="77"/>
      <c r="F11" s="77"/>
      <c r="G11" s="77"/>
      <c r="H11" s="77"/>
      <c r="I11" s="77"/>
      <c r="J11" s="84"/>
    </row>
    <row r="12" ht="36" spans="1:10">
      <c r="A12" s="77"/>
      <c r="B12" s="77"/>
      <c r="C12" s="77"/>
      <c r="D12" s="77" t="s">
        <v>138</v>
      </c>
      <c r="E12" s="77"/>
      <c r="F12" s="77"/>
      <c r="G12" s="77"/>
      <c r="H12" s="77"/>
      <c r="I12" s="77"/>
      <c r="J12" s="84"/>
    </row>
    <row r="13" s="51" customFormat="1" ht="36" customHeight="1" spans="1:10">
      <c r="A13" s="77"/>
      <c r="B13" s="77"/>
      <c r="C13" s="77"/>
      <c r="D13" s="77" t="s">
        <v>139</v>
      </c>
      <c r="E13" s="77"/>
      <c r="F13" s="77"/>
      <c r="G13" s="77"/>
      <c r="H13" s="77"/>
      <c r="I13" s="77"/>
      <c r="J13" s="83"/>
    </row>
    <row r="14" ht="54" spans="1:10">
      <c r="A14" s="77" t="s">
        <v>140</v>
      </c>
      <c r="B14" s="77" t="s">
        <v>141</v>
      </c>
      <c r="C14" s="77" t="s">
        <v>142</v>
      </c>
      <c r="D14" s="77" t="s">
        <v>143</v>
      </c>
      <c r="E14" s="77" t="s">
        <v>144</v>
      </c>
      <c r="F14" s="77" t="s">
        <v>40</v>
      </c>
      <c r="G14" s="77" t="s">
        <v>34</v>
      </c>
      <c r="H14" s="77" t="s">
        <v>65</v>
      </c>
      <c r="I14" s="77" t="s">
        <v>145</v>
      </c>
      <c r="J14" s="84"/>
    </row>
    <row r="15" ht="36" spans="1:10">
      <c r="A15" s="77"/>
      <c r="B15" s="77"/>
      <c r="C15" s="77"/>
      <c r="D15" s="77" t="s">
        <v>146</v>
      </c>
      <c r="E15" s="77"/>
      <c r="F15" s="77"/>
      <c r="G15" s="77"/>
      <c r="H15" s="77"/>
      <c r="I15" s="77"/>
      <c r="J15" s="85"/>
    </row>
    <row r="16" ht="34" customHeight="1" spans="1:12">
      <c r="A16" s="77"/>
      <c r="B16" s="77"/>
      <c r="C16" s="77"/>
      <c r="D16" s="77" t="s">
        <v>147</v>
      </c>
      <c r="E16" s="77"/>
      <c r="F16" s="77"/>
      <c r="G16" s="77"/>
      <c r="H16" s="77"/>
      <c r="I16" s="77"/>
      <c r="J16" s="83"/>
      <c r="K16" s="51"/>
      <c r="L16" s="51"/>
    </row>
    <row r="17" ht="18" spans="1:10">
      <c r="A17" s="77" t="s">
        <v>148</v>
      </c>
      <c r="B17" s="77" t="s">
        <v>149</v>
      </c>
      <c r="C17" s="77" t="s">
        <v>150</v>
      </c>
      <c r="D17" s="77" t="s">
        <v>53</v>
      </c>
      <c r="E17" s="77" t="s">
        <v>151</v>
      </c>
      <c r="F17" s="77" t="s">
        <v>152</v>
      </c>
      <c r="G17" s="77" t="s">
        <v>34</v>
      </c>
      <c r="H17" s="77" t="s">
        <v>65</v>
      </c>
      <c r="I17" s="77" t="s">
        <v>153</v>
      </c>
      <c r="J17" s="84"/>
    </row>
    <row r="18" ht="36" spans="1:9">
      <c r="A18" s="77"/>
      <c r="B18" s="77"/>
      <c r="C18" s="77"/>
      <c r="D18" s="77" t="s">
        <v>154</v>
      </c>
      <c r="E18" s="77"/>
      <c r="F18" s="77"/>
      <c r="G18" s="77"/>
      <c r="H18" s="77"/>
      <c r="I18" s="77"/>
    </row>
    <row r="19" ht="58" customHeight="1" spans="1:9">
      <c r="A19" s="77"/>
      <c r="B19" s="77"/>
      <c r="C19" s="77"/>
      <c r="D19" s="77" t="s">
        <v>155</v>
      </c>
      <c r="E19" s="77"/>
      <c r="F19" s="77"/>
      <c r="G19" s="77"/>
      <c r="H19" s="77"/>
      <c r="I19" s="77"/>
    </row>
    <row r="20" ht="36" spans="1:9">
      <c r="A20" s="77"/>
      <c r="B20" s="77"/>
      <c r="C20" s="77"/>
      <c r="D20" s="77" t="s">
        <v>156</v>
      </c>
      <c r="E20" s="77"/>
      <c r="F20" s="77"/>
      <c r="G20" s="77"/>
      <c r="H20" s="77"/>
      <c r="I20" s="77"/>
    </row>
    <row r="21" ht="72" spans="1:9">
      <c r="A21" s="77" t="s">
        <v>157</v>
      </c>
      <c r="B21" s="77" t="s">
        <v>158</v>
      </c>
      <c r="C21" s="77" t="s">
        <v>159</v>
      </c>
      <c r="D21" s="77" t="s">
        <v>160</v>
      </c>
      <c r="E21" s="77" t="s">
        <v>161</v>
      </c>
      <c r="F21" s="77" t="s">
        <v>162</v>
      </c>
      <c r="G21" s="77" t="s">
        <v>34</v>
      </c>
      <c r="H21" s="77" t="s">
        <v>65</v>
      </c>
      <c r="I21" s="77" t="s">
        <v>163</v>
      </c>
    </row>
    <row r="22" ht="18" customHeight="1" spans="1:9">
      <c r="A22" s="77"/>
      <c r="B22" s="77"/>
      <c r="C22" s="77"/>
      <c r="D22" s="77" t="s">
        <v>164</v>
      </c>
      <c r="E22" s="77"/>
      <c r="F22" s="77"/>
      <c r="G22" s="77"/>
      <c r="H22" s="77"/>
      <c r="I22" s="77"/>
    </row>
    <row r="23" ht="40" customHeight="1" spans="1:9">
      <c r="A23" s="77"/>
      <c r="B23" s="77"/>
      <c r="C23" s="77"/>
      <c r="D23" s="77" t="s">
        <v>165</v>
      </c>
      <c r="E23" s="77"/>
      <c r="F23" s="77"/>
      <c r="G23" s="77"/>
      <c r="H23" s="77"/>
      <c r="I23" s="77"/>
    </row>
    <row r="24" ht="36" customHeight="1" spans="1:9">
      <c r="A24" s="77" t="s">
        <v>166</v>
      </c>
      <c r="B24" s="77" t="s">
        <v>167</v>
      </c>
      <c r="C24" s="77" t="s">
        <v>142</v>
      </c>
      <c r="D24" s="77" t="s">
        <v>168</v>
      </c>
      <c r="E24" s="77" t="s">
        <v>169</v>
      </c>
      <c r="F24" s="77" t="s">
        <v>40</v>
      </c>
      <c r="G24" s="77" t="s">
        <v>34</v>
      </c>
      <c r="H24" s="77" t="s">
        <v>65</v>
      </c>
      <c r="I24" s="77" t="s">
        <v>170</v>
      </c>
    </row>
    <row r="25" ht="36" spans="1:9">
      <c r="A25" s="77"/>
      <c r="B25" s="77"/>
      <c r="C25" s="77"/>
      <c r="D25" s="77" t="s">
        <v>171</v>
      </c>
      <c r="E25" s="77"/>
      <c r="F25" s="77"/>
      <c r="G25" s="77"/>
      <c r="H25" s="77"/>
      <c r="I25" s="77"/>
    </row>
    <row r="26" ht="54" spans="1:9">
      <c r="A26" s="77"/>
      <c r="B26" s="77"/>
      <c r="C26" s="77"/>
      <c r="D26" s="77" t="s">
        <v>172</v>
      </c>
      <c r="E26" s="77"/>
      <c r="F26" s="77"/>
      <c r="G26" s="77"/>
      <c r="H26" s="77"/>
      <c r="I26" s="77"/>
    </row>
    <row r="27" ht="54" spans="1:9">
      <c r="A27" s="77" t="s">
        <v>173</v>
      </c>
      <c r="B27" s="77" t="s">
        <v>174</v>
      </c>
      <c r="C27" s="77" t="s">
        <v>175</v>
      </c>
      <c r="D27" s="77" t="s">
        <v>176</v>
      </c>
      <c r="E27" s="77" t="s">
        <v>177</v>
      </c>
      <c r="F27" s="77" t="s">
        <v>178</v>
      </c>
      <c r="G27" s="77" t="s">
        <v>34</v>
      </c>
      <c r="H27" s="77" t="s">
        <v>65</v>
      </c>
      <c r="I27" s="77" t="s">
        <v>179</v>
      </c>
    </row>
    <row r="28" ht="36" spans="1:9">
      <c r="A28" s="77"/>
      <c r="B28" s="77"/>
      <c r="C28" s="77"/>
      <c r="D28" s="77" t="s">
        <v>180</v>
      </c>
      <c r="E28" s="77"/>
      <c r="F28" s="77"/>
      <c r="G28" s="77"/>
      <c r="H28" s="77"/>
      <c r="I28" s="77"/>
    </row>
    <row r="29" ht="36" spans="1:9">
      <c r="A29" s="77"/>
      <c r="B29" s="77"/>
      <c r="C29" s="77"/>
      <c r="D29" s="77" t="s">
        <v>181</v>
      </c>
      <c r="E29" s="77"/>
      <c r="F29" s="77"/>
      <c r="G29" s="77"/>
      <c r="H29" s="77"/>
      <c r="I29" s="77"/>
    </row>
    <row r="30" ht="54" spans="1:9">
      <c r="A30" s="77" t="s">
        <v>182</v>
      </c>
      <c r="B30" s="77" t="s">
        <v>183</v>
      </c>
      <c r="C30" s="77" t="s">
        <v>142</v>
      </c>
      <c r="D30" s="77" t="s">
        <v>184</v>
      </c>
      <c r="E30" s="77" t="s">
        <v>185</v>
      </c>
      <c r="F30" s="77" t="s">
        <v>186</v>
      </c>
      <c r="G30" s="77" t="s">
        <v>34</v>
      </c>
      <c r="H30" s="77" t="s">
        <v>65</v>
      </c>
      <c r="I30" s="77" t="s">
        <v>187</v>
      </c>
    </row>
    <row r="31" ht="36" spans="1:9">
      <c r="A31" s="77"/>
      <c r="B31" s="77"/>
      <c r="C31" s="77"/>
      <c r="D31" s="77" t="s">
        <v>188</v>
      </c>
      <c r="E31" s="77"/>
      <c r="F31" s="77"/>
      <c r="G31" s="77"/>
      <c r="H31" s="77"/>
      <c r="I31" s="77"/>
    </row>
    <row r="32" ht="36" spans="1:9">
      <c r="A32" s="77" t="s">
        <v>189</v>
      </c>
      <c r="B32" s="77" t="s">
        <v>190</v>
      </c>
      <c r="C32" s="77" t="s">
        <v>142</v>
      </c>
      <c r="D32" s="77" t="s">
        <v>191</v>
      </c>
      <c r="E32" s="77" t="s">
        <v>192</v>
      </c>
      <c r="F32" s="77" t="s">
        <v>186</v>
      </c>
      <c r="G32" s="77" t="s">
        <v>34</v>
      </c>
      <c r="H32" s="77" t="s">
        <v>65</v>
      </c>
      <c r="I32" s="77" t="s">
        <v>193</v>
      </c>
    </row>
    <row r="33" ht="36" spans="1:9">
      <c r="A33" s="77"/>
      <c r="B33" s="77"/>
      <c r="C33" s="77"/>
      <c r="D33" s="77" t="s">
        <v>194</v>
      </c>
      <c r="E33" s="77"/>
      <c r="F33" s="77"/>
      <c r="G33" s="77"/>
      <c r="H33" s="77"/>
      <c r="I33" s="77"/>
    </row>
    <row r="34" ht="57" customHeight="1" spans="1:9">
      <c r="A34" s="77" t="s">
        <v>195</v>
      </c>
      <c r="B34" s="77" t="s">
        <v>190</v>
      </c>
      <c r="C34" s="77" t="s">
        <v>142</v>
      </c>
      <c r="D34" s="77" t="s">
        <v>191</v>
      </c>
      <c r="E34" s="77" t="s">
        <v>192</v>
      </c>
      <c r="F34" s="77" t="s">
        <v>186</v>
      </c>
      <c r="G34" s="77" t="s">
        <v>34</v>
      </c>
      <c r="H34" s="77" t="s">
        <v>65</v>
      </c>
      <c r="I34" s="77" t="s">
        <v>193</v>
      </c>
    </row>
    <row r="35" ht="36" spans="1:9">
      <c r="A35" s="77"/>
      <c r="B35" s="77"/>
      <c r="C35" s="77"/>
      <c r="D35" s="77" t="s">
        <v>194</v>
      </c>
      <c r="E35" s="77"/>
      <c r="F35" s="77"/>
      <c r="G35" s="77"/>
      <c r="H35" s="77"/>
      <c r="I35" s="77"/>
    </row>
  </sheetData>
  <mergeCells count="77">
    <mergeCell ref="B2:G2"/>
    <mergeCell ref="B3:G3"/>
    <mergeCell ref="B4:G4"/>
    <mergeCell ref="F5:G5"/>
    <mergeCell ref="F6:G6"/>
    <mergeCell ref="A9:A13"/>
    <mergeCell ref="A14:A16"/>
    <mergeCell ref="A17:A20"/>
    <mergeCell ref="A21:A23"/>
    <mergeCell ref="A24:A26"/>
    <mergeCell ref="A27:A29"/>
    <mergeCell ref="A30:A31"/>
    <mergeCell ref="A32:A33"/>
    <mergeCell ref="A34:A35"/>
    <mergeCell ref="B9:B13"/>
    <mergeCell ref="B14:B16"/>
    <mergeCell ref="B17:B20"/>
    <mergeCell ref="B21:B23"/>
    <mergeCell ref="B24:B26"/>
    <mergeCell ref="B27:B29"/>
    <mergeCell ref="B30:B31"/>
    <mergeCell ref="B32:B33"/>
    <mergeCell ref="B34:B35"/>
    <mergeCell ref="C9:C13"/>
    <mergeCell ref="C14:C16"/>
    <mergeCell ref="C17:C20"/>
    <mergeCell ref="C21:C23"/>
    <mergeCell ref="C24:C26"/>
    <mergeCell ref="C27:C29"/>
    <mergeCell ref="C30:C31"/>
    <mergeCell ref="C32:C33"/>
    <mergeCell ref="C34:C35"/>
    <mergeCell ref="E9:E13"/>
    <mergeCell ref="E14:E16"/>
    <mergeCell ref="E17:E20"/>
    <mergeCell ref="E21:E23"/>
    <mergeCell ref="E24:E26"/>
    <mergeCell ref="E27:E29"/>
    <mergeCell ref="E30:E31"/>
    <mergeCell ref="E32:E33"/>
    <mergeCell ref="E34:E35"/>
    <mergeCell ref="F9:F13"/>
    <mergeCell ref="F14:F16"/>
    <mergeCell ref="F17:F20"/>
    <mergeCell ref="F21:F23"/>
    <mergeCell ref="F24:F26"/>
    <mergeCell ref="F27:F29"/>
    <mergeCell ref="F30:F31"/>
    <mergeCell ref="F32:F33"/>
    <mergeCell ref="F34:F35"/>
    <mergeCell ref="G9:G13"/>
    <mergeCell ref="G14:G16"/>
    <mergeCell ref="G17:G20"/>
    <mergeCell ref="G21:G23"/>
    <mergeCell ref="G24:G26"/>
    <mergeCell ref="G27:G29"/>
    <mergeCell ref="G30:G31"/>
    <mergeCell ref="G32:G33"/>
    <mergeCell ref="G34:G35"/>
    <mergeCell ref="H9:H13"/>
    <mergeCell ref="H14:H16"/>
    <mergeCell ref="H17:H20"/>
    <mergeCell ref="H21:H23"/>
    <mergeCell ref="H24:H26"/>
    <mergeCell ref="H27:H29"/>
    <mergeCell ref="H30:H31"/>
    <mergeCell ref="H32:H33"/>
    <mergeCell ref="H34:H35"/>
    <mergeCell ref="I9:I13"/>
    <mergeCell ref="I14:I16"/>
    <mergeCell ref="I17:I20"/>
    <mergeCell ref="I21:I23"/>
    <mergeCell ref="I24:I26"/>
    <mergeCell ref="I27:I29"/>
    <mergeCell ref="I30:I31"/>
    <mergeCell ref="I32:I33"/>
    <mergeCell ref="I34:I35"/>
  </mergeCells>
  <dataValidations count="1">
    <dataValidation type="list" allowBlank="1" showErrorMessage="1" sqref="G1:G3 G7:G8 G36:G144">
      <formula1>$K$2:$K$6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pane ySplit="8" topLeftCell="A36" activePane="bottomLeft" state="frozen"/>
      <selection/>
      <selection pane="bottomLeft" activeCell="H2" sqref="H2"/>
    </sheetView>
  </sheetViews>
  <sheetFormatPr defaultColWidth="9" defaultRowHeight="13.2"/>
  <cols>
    <col min="1" max="1" width="11.8333333333333" style="1" customWidth="1"/>
    <col min="2" max="2" width="19.1666666666667" style="1" customWidth="1"/>
    <col min="3" max="3" width="32.1666666666667" style="1" customWidth="1"/>
    <col min="4" max="4" width="28.5" style="1" customWidth="1"/>
    <col min="5" max="5" width="19.4444444444444" style="1" customWidth="1"/>
    <col min="6" max="6" width="7.16666666666667" style="1" customWidth="1"/>
    <col min="7" max="7" width="11.8333333333333" style="54" customWidth="1"/>
    <col min="8" max="8" width="31.8333333333333" style="1" customWidth="1"/>
    <col min="9" max="9" width="8.16666666666667" style="55" customWidth="1"/>
    <col min="10" max="10" width="9" style="1" hidden="1" customWidth="1"/>
    <col min="11" max="16384" width="9" style="1"/>
  </cols>
  <sheetData>
    <row r="1" s="51" customFormat="1" ht="14.7" customHeight="1" spans="1:9">
      <c r="A1" s="56"/>
      <c r="B1" s="57"/>
      <c r="C1" s="57"/>
      <c r="D1" s="57"/>
      <c r="E1" s="57"/>
      <c r="F1" s="58"/>
      <c r="G1" s="59"/>
      <c r="H1" s="60"/>
      <c r="I1" s="78"/>
    </row>
    <row r="2" s="51" customFormat="1" ht="15" customHeight="1" spans="1:10">
      <c r="A2" s="61" t="s">
        <v>32</v>
      </c>
      <c r="B2" s="62" t="s">
        <v>33</v>
      </c>
      <c r="C2" s="62"/>
      <c r="D2" s="62"/>
      <c r="E2" s="62"/>
      <c r="F2" s="62"/>
      <c r="G2" s="63"/>
      <c r="H2" s="60"/>
      <c r="I2" s="78"/>
      <c r="J2" s="51" t="s">
        <v>34</v>
      </c>
    </row>
    <row r="3" s="51" customFormat="1" ht="25.5" customHeight="1" spans="1:10">
      <c r="A3" s="64" t="s">
        <v>35</v>
      </c>
      <c r="B3" s="62" t="s">
        <v>36</v>
      </c>
      <c r="C3" s="62"/>
      <c r="D3" s="62"/>
      <c r="E3" s="62"/>
      <c r="F3" s="62"/>
      <c r="G3" s="63"/>
      <c r="H3" s="60"/>
      <c r="I3" s="78"/>
      <c r="J3" s="51" t="s">
        <v>37</v>
      </c>
    </row>
    <row r="4" s="51" customFormat="1" ht="18" customHeight="1" spans="1:10">
      <c r="A4" s="61" t="s">
        <v>38</v>
      </c>
      <c r="B4" s="65"/>
      <c r="C4" s="65"/>
      <c r="D4" s="65"/>
      <c r="E4" s="65"/>
      <c r="F4" s="65"/>
      <c r="G4" s="63"/>
      <c r="H4" s="60"/>
      <c r="I4" s="78"/>
      <c r="J4" s="79"/>
    </row>
    <row r="5" s="51" customFormat="1" ht="19.5" customHeight="1" spans="1:10">
      <c r="A5" s="66" t="s">
        <v>34</v>
      </c>
      <c r="B5" s="67" t="s">
        <v>37</v>
      </c>
      <c r="C5" s="67" t="s">
        <v>39</v>
      </c>
      <c r="D5" s="68" t="s">
        <v>40</v>
      </c>
      <c r="E5" s="69" t="s">
        <v>41</v>
      </c>
      <c r="F5" s="69"/>
      <c r="G5" s="70"/>
      <c r="H5" s="70"/>
      <c r="I5" s="80"/>
      <c r="J5" s="51" t="s">
        <v>42</v>
      </c>
    </row>
    <row r="6" s="51" customFormat="1" ht="15" customHeight="1" spans="1:10">
      <c r="A6" s="71">
        <f>COUNTIF(F9:F998,"Pass")</f>
        <v>0</v>
      </c>
      <c r="B6" s="72">
        <f>COUNTIF(F9:F998,"Fail")</f>
        <v>0</v>
      </c>
      <c r="C6" s="72">
        <f>E6-D6-B6-A6</f>
        <v>10</v>
      </c>
      <c r="D6" s="73">
        <f>COUNTIF(F$9:F$998,"N/A")</f>
        <v>0</v>
      </c>
      <c r="E6" s="74">
        <f>COUNTA(A9:A998)</f>
        <v>10</v>
      </c>
      <c r="F6" s="74"/>
      <c r="G6" s="70"/>
      <c r="H6" s="70"/>
      <c r="I6" s="80"/>
      <c r="J6" s="51" t="s">
        <v>40</v>
      </c>
    </row>
    <row r="7" s="51" customFormat="1" ht="15" customHeight="1" spans="4:9">
      <c r="D7" s="39"/>
      <c r="E7" s="39"/>
      <c r="F7" s="70"/>
      <c r="G7" s="70"/>
      <c r="H7" s="70"/>
      <c r="I7" s="80"/>
    </row>
    <row r="8" s="51" customFormat="1" ht="25.5" customHeight="1" spans="1:9">
      <c r="A8" s="75" t="s">
        <v>43</v>
      </c>
      <c r="B8" s="75" t="s">
        <v>44</v>
      </c>
      <c r="C8" s="76" t="s">
        <v>45</v>
      </c>
      <c r="D8" s="75" t="s">
        <v>46</v>
      </c>
      <c r="E8" s="75" t="s">
        <v>47</v>
      </c>
      <c r="F8" s="75" t="s">
        <v>128</v>
      </c>
      <c r="G8" s="75" t="s">
        <v>49</v>
      </c>
      <c r="H8" s="75" t="s">
        <v>129</v>
      </c>
      <c r="I8" s="75" t="s">
        <v>130</v>
      </c>
    </row>
    <row r="9" s="52" customFormat="1" ht="42" customHeight="1" spans="1:9">
      <c r="A9" s="77" t="s">
        <v>196</v>
      </c>
      <c r="B9" s="77" t="s">
        <v>197</v>
      </c>
      <c r="C9" s="77" t="s">
        <v>198</v>
      </c>
      <c r="D9" s="77" t="s">
        <v>53</v>
      </c>
      <c r="E9" s="77" t="s">
        <v>199</v>
      </c>
      <c r="F9" s="77" t="s">
        <v>200</v>
      </c>
      <c r="G9" s="77" t="s">
        <v>34</v>
      </c>
      <c r="H9" s="77" t="s">
        <v>65</v>
      </c>
      <c r="I9" s="77" t="s">
        <v>201</v>
      </c>
    </row>
    <row r="10" s="52" customFormat="1" ht="40" customHeight="1" spans="1:9">
      <c r="A10" s="77"/>
      <c r="B10" s="77"/>
      <c r="C10" s="77"/>
      <c r="D10" s="77" t="s">
        <v>202</v>
      </c>
      <c r="E10" s="77"/>
      <c r="F10" s="77"/>
      <c r="G10" s="77"/>
      <c r="H10" s="77"/>
      <c r="I10" s="77"/>
    </row>
    <row r="11" ht="15" customHeight="1" spans="1:9">
      <c r="A11" s="77"/>
      <c r="B11" s="77"/>
      <c r="C11" s="77"/>
      <c r="D11" s="77" t="s">
        <v>203</v>
      </c>
      <c r="E11" s="77"/>
      <c r="F11" s="77"/>
      <c r="G11" s="77"/>
      <c r="H11" s="77"/>
      <c r="I11" s="77"/>
    </row>
    <row r="12" ht="36" spans="1:9">
      <c r="A12" s="77"/>
      <c r="B12" s="77"/>
      <c r="C12" s="77"/>
      <c r="D12" s="77" t="s">
        <v>204</v>
      </c>
      <c r="E12" s="77"/>
      <c r="F12" s="77"/>
      <c r="G12" s="77"/>
      <c r="H12" s="77"/>
      <c r="I12" s="77"/>
    </row>
    <row r="13" s="53" customFormat="1" ht="15.75" customHeight="1" spans="1:9">
      <c r="A13" s="77"/>
      <c r="B13" s="77"/>
      <c r="C13" s="77"/>
      <c r="D13" s="77" t="s">
        <v>205</v>
      </c>
      <c r="E13" s="77"/>
      <c r="F13" s="77"/>
      <c r="G13" s="77"/>
      <c r="H13" s="77"/>
      <c r="I13" s="77"/>
    </row>
    <row r="14" ht="19" customHeight="1" spans="1:9">
      <c r="A14" s="77"/>
      <c r="B14" s="77"/>
      <c r="C14" s="77"/>
      <c r="D14" s="77" t="s">
        <v>206</v>
      </c>
      <c r="E14" s="77"/>
      <c r="F14" s="77"/>
      <c r="G14" s="77"/>
      <c r="H14" s="77"/>
      <c r="I14" s="77"/>
    </row>
    <row r="15" ht="18" spans="1:9">
      <c r="A15" s="77" t="s">
        <v>207</v>
      </c>
      <c r="B15" s="77" t="s">
        <v>208</v>
      </c>
      <c r="C15" s="77" t="s">
        <v>209</v>
      </c>
      <c r="D15" s="77" t="s">
        <v>210</v>
      </c>
      <c r="E15" s="77" t="s">
        <v>211</v>
      </c>
      <c r="F15" s="77" t="s">
        <v>212</v>
      </c>
      <c r="G15" s="77" t="s">
        <v>34</v>
      </c>
      <c r="H15" s="77" t="s">
        <v>65</v>
      </c>
      <c r="I15" s="77" t="s">
        <v>213</v>
      </c>
    </row>
    <row r="16" s="53" customFormat="1" ht="41" customHeight="1" spans="1:9">
      <c r="A16" s="77"/>
      <c r="B16" s="77"/>
      <c r="C16" s="77"/>
      <c r="D16" s="77" t="s">
        <v>214</v>
      </c>
      <c r="E16" s="77"/>
      <c r="F16" s="77"/>
      <c r="G16" s="77"/>
      <c r="H16" s="77"/>
      <c r="I16" s="77"/>
    </row>
    <row r="17" ht="15" customHeight="1" spans="1:9">
      <c r="A17" s="77"/>
      <c r="B17" s="77"/>
      <c r="C17" s="77"/>
      <c r="D17" s="77" t="s">
        <v>215</v>
      </c>
      <c r="E17" s="77"/>
      <c r="F17" s="77"/>
      <c r="G17" s="77"/>
      <c r="H17" s="77"/>
      <c r="I17" s="77"/>
    </row>
    <row r="18" ht="36" spans="1:9">
      <c r="A18" s="77"/>
      <c r="B18" s="77"/>
      <c r="C18" s="77"/>
      <c r="D18" s="77" t="s">
        <v>216</v>
      </c>
      <c r="E18" s="77"/>
      <c r="F18" s="77"/>
      <c r="G18" s="77"/>
      <c r="H18" s="77"/>
      <c r="I18" s="77"/>
    </row>
    <row r="19" ht="36" spans="1:9">
      <c r="A19" s="77" t="s">
        <v>217</v>
      </c>
      <c r="B19" s="77" t="s">
        <v>218</v>
      </c>
      <c r="C19" s="77" t="s">
        <v>142</v>
      </c>
      <c r="D19" s="77" t="s">
        <v>219</v>
      </c>
      <c r="E19" s="77" t="s">
        <v>220</v>
      </c>
      <c r="F19" s="77" t="s">
        <v>221</v>
      </c>
      <c r="G19" s="77" t="s">
        <v>34</v>
      </c>
      <c r="H19" s="77" t="s">
        <v>65</v>
      </c>
      <c r="I19" s="77" t="s">
        <v>222</v>
      </c>
    </row>
    <row r="20" ht="54" spans="1:9">
      <c r="A20" s="77"/>
      <c r="B20" s="77"/>
      <c r="C20" s="77"/>
      <c r="D20" s="77" t="s">
        <v>223</v>
      </c>
      <c r="E20" s="77"/>
      <c r="F20" s="77"/>
      <c r="G20" s="77"/>
      <c r="H20" s="77"/>
      <c r="I20" s="77"/>
    </row>
    <row r="21" ht="41" customHeight="1" spans="1:9">
      <c r="A21" s="77"/>
      <c r="B21" s="77"/>
      <c r="C21" s="77"/>
      <c r="D21" s="77" t="s">
        <v>224</v>
      </c>
      <c r="E21" s="77"/>
      <c r="F21" s="77"/>
      <c r="G21" s="77"/>
      <c r="H21" s="77"/>
      <c r="I21" s="77"/>
    </row>
    <row r="22" ht="18" spans="1:9">
      <c r="A22" s="77" t="s">
        <v>225</v>
      </c>
      <c r="B22" s="77" t="s">
        <v>226</v>
      </c>
      <c r="C22" s="77" t="s">
        <v>227</v>
      </c>
      <c r="D22" s="77" t="s">
        <v>228</v>
      </c>
      <c r="E22" s="77" t="s">
        <v>229</v>
      </c>
      <c r="F22" s="77" t="s">
        <v>230</v>
      </c>
      <c r="G22" s="77" t="s">
        <v>34</v>
      </c>
      <c r="H22" s="77" t="s">
        <v>65</v>
      </c>
      <c r="I22" s="77" t="s">
        <v>231</v>
      </c>
    </row>
    <row r="23" ht="36" spans="1:9">
      <c r="A23" s="77"/>
      <c r="B23" s="77"/>
      <c r="C23" s="77"/>
      <c r="D23" s="77" t="s">
        <v>232</v>
      </c>
      <c r="E23" s="77"/>
      <c r="F23" s="77"/>
      <c r="G23" s="77"/>
      <c r="H23" s="77"/>
      <c r="I23" s="77"/>
    </row>
    <row r="24" ht="21" customHeight="1" spans="1:9">
      <c r="A24" s="77"/>
      <c r="B24" s="77"/>
      <c r="C24" s="77"/>
      <c r="D24" s="77" t="s">
        <v>233</v>
      </c>
      <c r="E24" s="77"/>
      <c r="F24" s="77"/>
      <c r="G24" s="77"/>
      <c r="H24" s="77"/>
      <c r="I24" s="77"/>
    </row>
    <row r="25" ht="18" customHeight="1" spans="1:9">
      <c r="A25" s="77" t="s">
        <v>234</v>
      </c>
      <c r="B25" s="77" t="s">
        <v>235</v>
      </c>
      <c r="C25" s="77" t="s">
        <v>236</v>
      </c>
      <c r="D25" s="77" t="s">
        <v>237</v>
      </c>
      <c r="E25" s="77" t="s">
        <v>238</v>
      </c>
      <c r="F25" s="77" t="s">
        <v>239</v>
      </c>
      <c r="G25" s="77" t="s">
        <v>34</v>
      </c>
      <c r="H25" s="77" t="s">
        <v>65</v>
      </c>
      <c r="I25" s="77" t="s">
        <v>240</v>
      </c>
    </row>
    <row r="26" ht="18" spans="1:9">
      <c r="A26" s="77"/>
      <c r="B26" s="77"/>
      <c r="C26" s="77"/>
      <c r="D26" s="77" t="s">
        <v>241</v>
      </c>
      <c r="E26" s="77"/>
      <c r="F26" s="77"/>
      <c r="G26" s="77"/>
      <c r="H26" s="77"/>
      <c r="I26" s="77"/>
    </row>
    <row r="27" ht="15" customHeight="1" spans="1:9">
      <c r="A27" s="77"/>
      <c r="B27" s="77"/>
      <c r="C27" s="77"/>
      <c r="D27" s="77" t="s">
        <v>242</v>
      </c>
      <c r="E27" s="77"/>
      <c r="F27" s="77"/>
      <c r="G27" s="77"/>
      <c r="H27" s="77"/>
      <c r="I27" s="77"/>
    </row>
    <row r="28" ht="21" customHeight="1" spans="1:9">
      <c r="A28" s="77"/>
      <c r="B28" s="77"/>
      <c r="C28" s="77"/>
      <c r="D28" s="77" t="s">
        <v>243</v>
      </c>
      <c r="E28" s="77"/>
      <c r="F28" s="77"/>
      <c r="G28" s="77"/>
      <c r="H28" s="77"/>
      <c r="I28" s="77"/>
    </row>
    <row r="29" ht="21" customHeight="1" spans="1:9">
      <c r="A29" s="77" t="s">
        <v>244</v>
      </c>
      <c r="B29" s="77" t="s">
        <v>245</v>
      </c>
      <c r="C29" s="77" t="s">
        <v>246</v>
      </c>
      <c r="D29" s="77" t="s">
        <v>228</v>
      </c>
      <c r="E29" s="77" t="s">
        <v>247</v>
      </c>
      <c r="F29" s="77" t="s">
        <v>248</v>
      </c>
      <c r="G29" s="77" t="s">
        <v>34</v>
      </c>
      <c r="H29" s="77" t="s">
        <v>65</v>
      </c>
      <c r="I29" s="77" t="s">
        <v>249</v>
      </c>
    </row>
    <row r="30" ht="19" customHeight="1" spans="1:9">
      <c r="A30" s="77"/>
      <c r="B30" s="77"/>
      <c r="C30" s="77"/>
      <c r="D30" s="77" t="s">
        <v>250</v>
      </c>
      <c r="E30" s="77"/>
      <c r="F30" s="77"/>
      <c r="G30" s="77"/>
      <c r="H30" s="77"/>
      <c r="I30" s="77"/>
    </row>
    <row r="31" ht="35" customHeight="1" spans="1:9">
      <c r="A31" s="77"/>
      <c r="B31" s="77"/>
      <c r="C31" s="77"/>
      <c r="D31" s="77" t="s">
        <v>251</v>
      </c>
      <c r="E31" s="77"/>
      <c r="F31" s="77"/>
      <c r="G31" s="77"/>
      <c r="H31" s="77"/>
      <c r="I31" s="77"/>
    </row>
    <row r="32" ht="22" customHeight="1" spans="1:9">
      <c r="A32" s="77"/>
      <c r="B32" s="77"/>
      <c r="C32" s="77"/>
      <c r="D32" s="77" t="s">
        <v>252</v>
      </c>
      <c r="E32" s="77"/>
      <c r="F32" s="77"/>
      <c r="G32" s="77"/>
      <c r="H32" s="77"/>
      <c r="I32" s="77"/>
    </row>
    <row r="33" ht="22" customHeight="1" spans="1:9">
      <c r="A33" s="77" t="s">
        <v>253</v>
      </c>
      <c r="B33" s="77" t="s">
        <v>254</v>
      </c>
      <c r="C33" s="77" t="s">
        <v>255</v>
      </c>
      <c r="D33" s="77" t="s">
        <v>237</v>
      </c>
      <c r="E33" s="77" t="s">
        <v>256</v>
      </c>
      <c r="F33" s="77" t="s">
        <v>257</v>
      </c>
      <c r="G33" s="77" t="s">
        <v>34</v>
      </c>
      <c r="H33" s="77" t="s">
        <v>65</v>
      </c>
      <c r="I33" s="77" t="s">
        <v>258</v>
      </c>
    </row>
    <row r="34" ht="52" customHeight="1" spans="1:9">
      <c r="A34" s="77"/>
      <c r="B34" s="77"/>
      <c r="C34" s="77"/>
      <c r="D34" s="77" t="s">
        <v>259</v>
      </c>
      <c r="E34" s="77"/>
      <c r="F34" s="77"/>
      <c r="G34" s="77"/>
      <c r="H34" s="77"/>
      <c r="I34" s="77"/>
    </row>
    <row r="35" ht="18" spans="1:9">
      <c r="A35" s="77" t="s">
        <v>260</v>
      </c>
      <c r="B35" s="77" t="s">
        <v>261</v>
      </c>
      <c r="C35" s="77" t="s">
        <v>262</v>
      </c>
      <c r="D35" s="77" t="s">
        <v>263</v>
      </c>
      <c r="E35" s="77" t="s">
        <v>264</v>
      </c>
      <c r="F35" s="77" t="s">
        <v>265</v>
      </c>
      <c r="G35" s="77" t="s">
        <v>34</v>
      </c>
      <c r="H35" s="77" t="s">
        <v>65</v>
      </c>
      <c r="I35" s="77" t="s">
        <v>266</v>
      </c>
    </row>
    <row r="36" ht="42" customHeight="1" spans="1:9">
      <c r="A36" s="77"/>
      <c r="B36" s="77"/>
      <c r="C36" s="77"/>
      <c r="D36" s="77" t="s">
        <v>202</v>
      </c>
      <c r="E36" s="77"/>
      <c r="F36" s="77"/>
      <c r="G36" s="77"/>
      <c r="H36" s="77"/>
      <c r="I36" s="77"/>
    </row>
    <row r="37" ht="99" customHeight="1" spans="1:9">
      <c r="A37" s="77" t="s">
        <v>267</v>
      </c>
      <c r="B37" s="77" t="s">
        <v>268</v>
      </c>
      <c r="C37" s="77" t="s">
        <v>269</v>
      </c>
      <c r="D37" s="77" t="s">
        <v>270</v>
      </c>
      <c r="E37" s="77" t="s">
        <v>271</v>
      </c>
      <c r="F37" s="77" t="s">
        <v>272</v>
      </c>
      <c r="G37" s="77" t="s">
        <v>34</v>
      </c>
      <c r="H37" s="77" t="s">
        <v>65</v>
      </c>
      <c r="I37" s="77" t="s">
        <v>273</v>
      </c>
    </row>
    <row r="38" ht="18" spans="1:9">
      <c r="A38" s="77" t="s">
        <v>274</v>
      </c>
      <c r="B38" s="77" t="s">
        <v>275</v>
      </c>
      <c r="C38" s="77" t="s">
        <v>276</v>
      </c>
      <c r="D38" s="77" t="s">
        <v>277</v>
      </c>
      <c r="E38" s="77" t="s">
        <v>278</v>
      </c>
      <c r="F38" s="77" t="s">
        <v>279</v>
      </c>
      <c r="G38" s="77" t="s">
        <v>34</v>
      </c>
      <c r="H38" s="77" t="s">
        <v>65</v>
      </c>
      <c r="I38" s="77" t="s">
        <v>280</v>
      </c>
    </row>
    <row r="39" ht="36" spans="1:9">
      <c r="A39" s="77"/>
      <c r="B39" s="77"/>
      <c r="C39" s="77"/>
      <c r="D39" s="77" t="s">
        <v>281</v>
      </c>
      <c r="E39" s="77"/>
      <c r="F39" s="77"/>
      <c r="G39" s="77"/>
      <c r="H39" s="77"/>
      <c r="I39" s="77"/>
    </row>
  </sheetData>
  <mergeCells count="77">
    <mergeCell ref="B2:F2"/>
    <mergeCell ref="B3:F3"/>
    <mergeCell ref="B4:F4"/>
    <mergeCell ref="E5:F5"/>
    <mergeCell ref="E6:F6"/>
    <mergeCell ref="A9:A14"/>
    <mergeCell ref="A15:A18"/>
    <mergeCell ref="A19:A21"/>
    <mergeCell ref="A22:A24"/>
    <mergeCell ref="A25:A28"/>
    <mergeCell ref="A29:A32"/>
    <mergeCell ref="A33:A34"/>
    <mergeCell ref="A35:A36"/>
    <mergeCell ref="A38:A39"/>
    <mergeCell ref="B9:B14"/>
    <mergeCell ref="B15:B18"/>
    <mergeCell ref="B19:B21"/>
    <mergeCell ref="B22:B24"/>
    <mergeCell ref="B25:B28"/>
    <mergeCell ref="B29:B32"/>
    <mergeCell ref="B33:B34"/>
    <mergeCell ref="B35:B36"/>
    <mergeCell ref="B38:B39"/>
    <mergeCell ref="C9:C14"/>
    <mergeCell ref="C15:C18"/>
    <mergeCell ref="C19:C21"/>
    <mergeCell ref="C22:C24"/>
    <mergeCell ref="C25:C28"/>
    <mergeCell ref="C29:C32"/>
    <mergeCell ref="C33:C34"/>
    <mergeCell ref="C35:C36"/>
    <mergeCell ref="C38:C39"/>
    <mergeCell ref="E9:E14"/>
    <mergeCell ref="E15:E18"/>
    <mergeCell ref="E19:E21"/>
    <mergeCell ref="E22:E24"/>
    <mergeCell ref="E25:E28"/>
    <mergeCell ref="E29:E32"/>
    <mergeCell ref="E33:E34"/>
    <mergeCell ref="E35:E36"/>
    <mergeCell ref="E38:E39"/>
    <mergeCell ref="F9:F14"/>
    <mergeCell ref="F15:F18"/>
    <mergeCell ref="F19:F21"/>
    <mergeCell ref="F22:F24"/>
    <mergeCell ref="F25:F28"/>
    <mergeCell ref="F29:F32"/>
    <mergeCell ref="F33:F34"/>
    <mergeCell ref="F35:F36"/>
    <mergeCell ref="F38:F39"/>
    <mergeCell ref="G9:G14"/>
    <mergeCell ref="G15:G18"/>
    <mergeCell ref="G19:G21"/>
    <mergeCell ref="G22:G24"/>
    <mergeCell ref="G25:G28"/>
    <mergeCell ref="G29:G32"/>
    <mergeCell ref="G33:G34"/>
    <mergeCell ref="G35:G36"/>
    <mergeCell ref="G38:G39"/>
    <mergeCell ref="H9:H14"/>
    <mergeCell ref="H15:H18"/>
    <mergeCell ref="H19:H21"/>
    <mergeCell ref="H22:H24"/>
    <mergeCell ref="H25:H28"/>
    <mergeCell ref="H29:H32"/>
    <mergeCell ref="H33:H34"/>
    <mergeCell ref="H35:H36"/>
    <mergeCell ref="H38:H39"/>
    <mergeCell ref="I9:I14"/>
    <mergeCell ref="I15:I18"/>
    <mergeCell ref="I19:I21"/>
    <mergeCell ref="I22:I24"/>
    <mergeCell ref="I25:I28"/>
    <mergeCell ref="I29:I32"/>
    <mergeCell ref="I33:I34"/>
    <mergeCell ref="I35:I36"/>
    <mergeCell ref="I38:I39"/>
  </mergeCells>
  <dataValidations count="2">
    <dataValidation type="list" allowBlank="1" showErrorMessage="1" sqref="F7 F1:F3 F40:F145">
      <formula1>$J$2:$J$6</formula1>
    </dataValidation>
    <dataValidation type="list" allowBlank="1" showErrorMessage="1" sqref="G8">
      <formula1>$K$2:$K$6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1" sqref="B1"/>
    </sheetView>
  </sheetViews>
  <sheetFormatPr defaultColWidth="11" defaultRowHeight="13.2" outlineLevelCol="6"/>
  <cols>
    <col min="1" max="1" width="22.8333333333333" customWidth="1"/>
    <col min="2" max="2" width="23.8333333333333" customWidth="1"/>
    <col min="3" max="3" width="17.6666666666667" customWidth="1"/>
    <col min="4" max="4" width="15.8333333333333" customWidth="1"/>
    <col min="5" max="5" width="33.5" customWidth="1"/>
    <col min="6" max="6" width="28.5" customWidth="1"/>
    <col min="7" max="7" width="33.8333333333333" customWidth="1"/>
  </cols>
  <sheetData>
    <row r="1" ht="20.4" spans="1:7">
      <c r="A1" s="47" t="s">
        <v>282</v>
      </c>
      <c r="B1" s="47" t="s">
        <v>283</v>
      </c>
      <c r="C1" s="47" t="s">
        <v>284</v>
      </c>
      <c r="D1" s="47" t="s">
        <v>285</v>
      </c>
      <c r="E1" s="47" t="s">
        <v>286</v>
      </c>
      <c r="F1" s="47" t="s">
        <v>287</v>
      </c>
      <c r="G1" s="47" t="s">
        <v>130</v>
      </c>
    </row>
    <row r="2" ht="36" spans="1:7">
      <c r="A2" s="43" t="s">
        <v>64</v>
      </c>
      <c r="B2" s="43" t="s">
        <v>288</v>
      </c>
      <c r="C2" s="43" t="s">
        <v>289</v>
      </c>
      <c r="D2" s="43" t="s">
        <v>290</v>
      </c>
      <c r="E2" s="48" t="s">
        <v>291</v>
      </c>
      <c r="F2" s="43" t="s">
        <v>292</v>
      </c>
      <c r="G2" s="43" t="s">
        <v>293</v>
      </c>
    </row>
    <row r="3" ht="18" spans="1:7">
      <c r="A3" s="43" t="s">
        <v>73</v>
      </c>
      <c r="B3" s="49" t="s">
        <v>294</v>
      </c>
      <c r="C3" s="43" t="s">
        <v>289</v>
      </c>
      <c r="D3" s="43" t="s">
        <v>290</v>
      </c>
      <c r="E3" s="48" t="s">
        <v>291</v>
      </c>
      <c r="F3" s="43" t="s">
        <v>292</v>
      </c>
      <c r="G3" s="43" t="s">
        <v>295</v>
      </c>
    </row>
    <row r="4" ht="36" spans="1:7">
      <c r="A4" s="43" t="s">
        <v>80</v>
      </c>
      <c r="B4" s="43" t="s">
        <v>288</v>
      </c>
      <c r="C4" s="43" t="s">
        <v>296</v>
      </c>
      <c r="D4" s="43" t="s">
        <v>290</v>
      </c>
      <c r="E4" s="43" t="s">
        <v>297</v>
      </c>
      <c r="F4" s="43" t="s">
        <v>292</v>
      </c>
      <c r="G4" s="43" t="s">
        <v>298</v>
      </c>
    </row>
    <row r="5" ht="36" spans="1:7">
      <c r="A5" s="43" t="s">
        <v>86</v>
      </c>
      <c r="B5" s="43" t="s">
        <v>288</v>
      </c>
      <c r="C5" s="43" t="s">
        <v>299</v>
      </c>
      <c r="D5" s="43" t="s">
        <v>290</v>
      </c>
      <c r="E5" s="48" t="s">
        <v>291</v>
      </c>
      <c r="F5" s="43" t="s">
        <v>292</v>
      </c>
      <c r="G5" s="43" t="s">
        <v>300</v>
      </c>
    </row>
    <row r="6" ht="18" spans="1:7">
      <c r="A6" s="43" t="s">
        <v>103</v>
      </c>
      <c r="B6" s="43" t="s">
        <v>288</v>
      </c>
      <c r="C6" s="43" t="s">
        <v>301</v>
      </c>
      <c r="D6" s="43" t="s">
        <v>290</v>
      </c>
      <c r="E6" s="48" t="s">
        <v>291</v>
      </c>
      <c r="F6" s="43" t="s">
        <v>292</v>
      </c>
      <c r="G6" s="43" t="s">
        <v>302</v>
      </c>
    </row>
    <row r="7" ht="18" spans="1:7">
      <c r="A7" s="43" t="s">
        <v>111</v>
      </c>
      <c r="B7" s="43" t="s">
        <v>288</v>
      </c>
      <c r="C7" s="43" t="s">
        <v>303</v>
      </c>
      <c r="D7" s="43" t="s">
        <v>290</v>
      </c>
      <c r="E7" s="48" t="s">
        <v>291</v>
      </c>
      <c r="F7" s="43" t="s">
        <v>292</v>
      </c>
      <c r="G7" s="43" t="s">
        <v>304</v>
      </c>
    </row>
    <row r="8" ht="18" spans="1:7">
      <c r="A8" s="43" t="s">
        <v>123</v>
      </c>
      <c r="B8" s="43" t="s">
        <v>288</v>
      </c>
      <c r="C8" s="43" t="s">
        <v>305</v>
      </c>
      <c r="D8" s="43" t="s">
        <v>290</v>
      </c>
      <c r="E8" s="48" t="s">
        <v>291</v>
      </c>
      <c r="F8" s="43" t="s">
        <v>292</v>
      </c>
      <c r="G8" s="43" t="s">
        <v>306</v>
      </c>
    </row>
    <row r="9" ht="36" spans="1:7">
      <c r="A9" s="43" t="s">
        <v>40</v>
      </c>
      <c r="B9" s="43" t="s">
        <v>40</v>
      </c>
      <c r="C9" s="43" t="s">
        <v>40</v>
      </c>
      <c r="D9" s="43" t="s">
        <v>40</v>
      </c>
      <c r="E9" s="43" t="s">
        <v>40</v>
      </c>
      <c r="F9" s="43" t="s">
        <v>40</v>
      </c>
      <c r="G9" s="43" t="s">
        <v>307</v>
      </c>
    </row>
    <row r="10" ht="21" spans="1:1">
      <c r="A10" s="50"/>
    </row>
    <row r="11" ht="21" spans="1:1">
      <c r="A11" s="50"/>
    </row>
    <row r="12" ht="21" spans="1:1">
      <c r="A12" s="50"/>
    </row>
  </sheetData>
  <hyperlinks>
    <hyperlink ref="E2" r:id="rId1" display="user3@gmail.com"/>
    <hyperlink ref="E3" r:id="rId1" display="user3@gmail.com"/>
    <hyperlink ref="E5" r:id="rId1" display="user3@gmail.com"/>
    <hyperlink ref="E6" r:id="rId1" display="user3@gmail.com"/>
    <hyperlink ref="E7" r:id="rId1" display="user3@gmail.com"/>
    <hyperlink ref="E8" r:id="rId1" display="user3@gmail.com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4" sqref="E4"/>
    </sheetView>
  </sheetViews>
  <sheetFormatPr defaultColWidth="8.88888888888889" defaultRowHeight="13.2" outlineLevelCol="6"/>
  <cols>
    <col min="1" max="1" width="18.6666666666667" customWidth="1"/>
    <col min="2" max="2" width="21.8888888888889" customWidth="1"/>
    <col min="3" max="3" width="26.7777777777778" customWidth="1"/>
    <col min="4" max="4" width="16.4444444444444" customWidth="1"/>
    <col min="5" max="5" width="27.4444444444444" customWidth="1"/>
    <col min="6" max="6" width="30.6666666666667" customWidth="1"/>
    <col min="7" max="7" width="47.1111111111111" customWidth="1"/>
  </cols>
  <sheetData>
    <row r="1" ht="34.8" spans="1:7">
      <c r="A1" s="46" t="s">
        <v>282</v>
      </c>
      <c r="B1" s="46" t="s">
        <v>308</v>
      </c>
      <c r="C1" s="46" t="s">
        <v>309</v>
      </c>
      <c r="D1" s="46" t="s">
        <v>310</v>
      </c>
      <c r="E1" s="46" t="s">
        <v>311</v>
      </c>
      <c r="F1" s="46" t="s">
        <v>312</v>
      </c>
      <c r="G1" s="46" t="s">
        <v>130</v>
      </c>
    </row>
    <row r="2" ht="35" customHeight="1" spans="1:7">
      <c r="A2" s="43" t="s">
        <v>313</v>
      </c>
      <c r="B2" s="43" t="s">
        <v>314</v>
      </c>
      <c r="C2" s="43" t="s">
        <v>315</v>
      </c>
      <c r="D2" s="43" t="s">
        <v>316</v>
      </c>
      <c r="E2" s="43" t="s">
        <v>317</v>
      </c>
      <c r="F2" s="43" t="s">
        <v>318</v>
      </c>
      <c r="G2" s="43" t="s">
        <v>319</v>
      </c>
    </row>
    <row r="3" ht="36" spans="1:7">
      <c r="A3" s="43" t="s">
        <v>320</v>
      </c>
      <c r="B3" s="43" t="s">
        <v>314</v>
      </c>
      <c r="C3" s="43" t="s">
        <v>321</v>
      </c>
      <c r="D3" s="43" t="s">
        <v>316</v>
      </c>
      <c r="E3" s="43" t="s">
        <v>317</v>
      </c>
      <c r="F3" s="43" t="s">
        <v>322</v>
      </c>
      <c r="G3" s="43" t="s">
        <v>319</v>
      </c>
    </row>
    <row r="4" ht="39" customHeight="1" spans="1:7">
      <c r="A4" s="43" t="s">
        <v>323</v>
      </c>
      <c r="B4" s="43" t="s">
        <v>314</v>
      </c>
      <c r="C4" s="43" t="s">
        <v>324</v>
      </c>
      <c r="D4" s="43" t="s">
        <v>316</v>
      </c>
      <c r="E4" s="43" t="s">
        <v>317</v>
      </c>
      <c r="F4" s="43" t="s">
        <v>325</v>
      </c>
      <c r="G4" s="43" t="s">
        <v>319</v>
      </c>
    </row>
    <row r="5" ht="37" customHeight="1" spans="1:7">
      <c r="A5" s="43" t="s">
        <v>326</v>
      </c>
      <c r="B5" s="43" t="s">
        <v>327</v>
      </c>
      <c r="C5" s="43" t="s">
        <v>328</v>
      </c>
      <c r="D5" s="43" t="s">
        <v>316</v>
      </c>
      <c r="E5" s="43" t="s">
        <v>329</v>
      </c>
      <c r="F5" s="43" t="s">
        <v>330</v>
      </c>
      <c r="G5" s="43" t="s">
        <v>331</v>
      </c>
    </row>
    <row r="6" ht="39" customHeight="1" spans="1:7">
      <c r="A6" s="43" t="s">
        <v>332</v>
      </c>
      <c r="B6" s="43" t="s">
        <v>333</v>
      </c>
      <c r="C6" s="43" t="s">
        <v>334</v>
      </c>
      <c r="D6" s="43" t="s">
        <v>316</v>
      </c>
      <c r="E6" s="43" t="s">
        <v>329</v>
      </c>
      <c r="F6" s="43" t="s">
        <v>335</v>
      </c>
      <c r="G6" s="43" t="s">
        <v>336</v>
      </c>
    </row>
    <row r="7" ht="36" spans="1:7">
      <c r="A7" s="43" t="s">
        <v>337</v>
      </c>
      <c r="B7" s="43" t="s">
        <v>314</v>
      </c>
      <c r="C7" s="43" t="s">
        <v>338</v>
      </c>
      <c r="D7" s="43" t="s">
        <v>316</v>
      </c>
      <c r="E7" s="43" t="s">
        <v>317</v>
      </c>
      <c r="F7" s="43" t="s">
        <v>339</v>
      </c>
      <c r="G7" s="43" t="s">
        <v>170</v>
      </c>
    </row>
    <row r="8" ht="36" customHeight="1" spans="1:7">
      <c r="A8" s="43" t="s">
        <v>340</v>
      </c>
      <c r="B8" s="43" t="s">
        <v>327</v>
      </c>
      <c r="C8" s="43" t="s">
        <v>341</v>
      </c>
      <c r="D8" s="43" t="s">
        <v>316</v>
      </c>
      <c r="E8" s="43" t="s">
        <v>342</v>
      </c>
      <c r="F8" s="43" t="s">
        <v>343</v>
      </c>
      <c r="G8" s="43" t="s">
        <v>344</v>
      </c>
    </row>
    <row r="9" ht="36" spans="1:7">
      <c r="A9" s="43" t="s">
        <v>345</v>
      </c>
      <c r="B9" s="43" t="s">
        <v>346</v>
      </c>
      <c r="C9" s="43" t="s">
        <v>347</v>
      </c>
      <c r="D9" s="43" t="s">
        <v>316</v>
      </c>
      <c r="E9" s="43" t="s">
        <v>317</v>
      </c>
      <c r="F9" s="43" t="s">
        <v>348</v>
      </c>
      <c r="G9" s="43" t="s">
        <v>349</v>
      </c>
    </row>
    <row r="10" ht="36" spans="1:7">
      <c r="A10" s="43" t="s">
        <v>350</v>
      </c>
      <c r="B10" s="43" t="s">
        <v>346</v>
      </c>
      <c r="C10" s="43" t="s">
        <v>347</v>
      </c>
      <c r="D10" s="43" t="s">
        <v>316</v>
      </c>
      <c r="E10" s="43" t="s">
        <v>317</v>
      </c>
      <c r="F10" s="43" t="s">
        <v>351</v>
      </c>
      <c r="G10" s="43" t="s">
        <v>352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D7" sqref="D7"/>
    </sheetView>
  </sheetViews>
  <sheetFormatPr defaultColWidth="8.88888888888889" defaultRowHeight="13.2"/>
  <cols>
    <col min="1" max="1" width="17.4444444444444" customWidth="1"/>
    <col min="2" max="2" width="16.2222222222222" customWidth="1"/>
    <col min="3" max="3" width="16.5555555555556" customWidth="1"/>
    <col min="4" max="4" width="11.7777777777778" style="40" customWidth="1"/>
    <col min="5" max="5" width="19.1111111111111" customWidth="1"/>
    <col min="6" max="6" width="19.5555555555556" customWidth="1"/>
    <col min="7" max="7" width="20.2222222222222" customWidth="1"/>
    <col min="8" max="8" width="41.5555555555556" customWidth="1"/>
    <col min="9" max="9" width="25.7777777777778" customWidth="1"/>
  </cols>
  <sheetData>
    <row r="1" ht="52" customHeight="1" spans="1:9">
      <c r="A1" s="41" t="s">
        <v>282</v>
      </c>
      <c r="B1" s="41" t="s">
        <v>353</v>
      </c>
      <c r="C1" s="41" t="s">
        <v>354</v>
      </c>
      <c r="D1" s="42" t="s">
        <v>355</v>
      </c>
      <c r="E1" s="41" t="s">
        <v>356</v>
      </c>
      <c r="F1" s="41" t="s">
        <v>357</v>
      </c>
      <c r="G1" s="41" t="s">
        <v>310</v>
      </c>
      <c r="H1" s="41" t="s">
        <v>358</v>
      </c>
      <c r="I1" s="41" t="s">
        <v>130</v>
      </c>
    </row>
    <row r="2" ht="36" customHeight="1" spans="1:9">
      <c r="A2" s="43" t="s">
        <v>200</v>
      </c>
      <c r="B2" s="43" t="s">
        <v>359</v>
      </c>
      <c r="C2" s="43" t="s">
        <v>360</v>
      </c>
      <c r="D2" s="44" t="s">
        <v>361</v>
      </c>
      <c r="E2" s="43" t="s">
        <v>362</v>
      </c>
      <c r="F2" s="43" t="s">
        <v>363</v>
      </c>
      <c r="G2" s="43" t="s">
        <v>316</v>
      </c>
      <c r="H2" s="43" t="s">
        <v>364</v>
      </c>
      <c r="I2" s="43" t="s">
        <v>365</v>
      </c>
    </row>
    <row r="3" ht="38" customHeight="1" spans="1:9">
      <c r="A3" s="43" t="s">
        <v>212</v>
      </c>
      <c r="B3" s="43" t="s">
        <v>359</v>
      </c>
      <c r="C3" s="43" t="s">
        <v>366</v>
      </c>
      <c r="D3" s="45">
        <v>1</v>
      </c>
      <c r="E3" s="43" t="s">
        <v>362</v>
      </c>
      <c r="F3" s="43" t="s">
        <v>363</v>
      </c>
      <c r="G3" s="43" t="s">
        <v>316</v>
      </c>
      <c r="H3" s="43" t="s">
        <v>367</v>
      </c>
      <c r="I3" s="43" t="s">
        <v>368</v>
      </c>
    </row>
    <row r="4" ht="37" customHeight="1" spans="1:9">
      <c r="A4" s="43" t="s">
        <v>221</v>
      </c>
      <c r="B4" s="43" t="s">
        <v>359</v>
      </c>
      <c r="C4" s="43" t="s">
        <v>369</v>
      </c>
      <c r="D4" s="44" t="s">
        <v>361</v>
      </c>
      <c r="E4" s="43" t="s">
        <v>40</v>
      </c>
      <c r="F4" s="43" t="s">
        <v>370</v>
      </c>
      <c r="G4" s="43" t="s">
        <v>316</v>
      </c>
      <c r="H4" s="43" t="s">
        <v>371</v>
      </c>
      <c r="I4" s="43" t="s">
        <v>222</v>
      </c>
    </row>
    <row r="5" ht="24" customHeight="1" spans="1:9">
      <c r="A5" s="43" t="s">
        <v>230</v>
      </c>
      <c r="B5" s="43" t="s">
        <v>359</v>
      </c>
      <c r="C5" s="43" t="s">
        <v>366</v>
      </c>
      <c r="D5" s="45">
        <v>2</v>
      </c>
      <c r="E5" s="43" t="s">
        <v>40</v>
      </c>
      <c r="F5" s="43" t="s">
        <v>372</v>
      </c>
      <c r="G5" s="43" t="s">
        <v>316</v>
      </c>
      <c r="H5" s="43" t="s">
        <v>373</v>
      </c>
      <c r="I5" s="43" t="s">
        <v>231</v>
      </c>
    </row>
    <row r="6" ht="30" customHeight="1" spans="1:9">
      <c r="A6" s="43" t="s">
        <v>239</v>
      </c>
      <c r="B6" s="43" t="s">
        <v>359</v>
      </c>
      <c r="C6" s="43" t="s">
        <v>366</v>
      </c>
      <c r="D6" s="45">
        <v>1</v>
      </c>
      <c r="E6" s="43" t="s">
        <v>374</v>
      </c>
      <c r="F6" s="43" t="s">
        <v>375</v>
      </c>
      <c r="G6" s="43" t="s">
        <v>316</v>
      </c>
      <c r="H6" s="43" t="s">
        <v>376</v>
      </c>
      <c r="I6" s="43" t="s">
        <v>377</v>
      </c>
    </row>
    <row r="7" ht="23" customHeight="1" spans="1:9">
      <c r="A7" s="43" t="s">
        <v>248</v>
      </c>
      <c r="B7" s="43" t="s">
        <v>359</v>
      </c>
      <c r="C7" s="43" t="s">
        <v>378</v>
      </c>
      <c r="D7" s="45">
        <v>1</v>
      </c>
      <c r="E7" s="43" t="s">
        <v>40</v>
      </c>
      <c r="F7" s="43" t="s">
        <v>379</v>
      </c>
      <c r="G7" s="43" t="s">
        <v>316</v>
      </c>
      <c r="H7" s="43" t="s">
        <v>380</v>
      </c>
      <c r="I7" s="43" t="s">
        <v>249</v>
      </c>
    </row>
    <row r="8" ht="18" spans="1:9">
      <c r="A8" s="43" t="s">
        <v>257</v>
      </c>
      <c r="B8" s="43" t="s">
        <v>359</v>
      </c>
      <c r="C8" s="43" t="s">
        <v>366</v>
      </c>
      <c r="D8" s="45">
        <v>1</v>
      </c>
      <c r="E8" s="43" t="s">
        <v>362</v>
      </c>
      <c r="F8" s="43" t="s">
        <v>363</v>
      </c>
      <c r="G8" s="43" t="s">
        <v>316</v>
      </c>
      <c r="H8" s="43" t="s">
        <v>381</v>
      </c>
      <c r="I8" s="43" t="s">
        <v>258</v>
      </c>
    </row>
    <row r="9" ht="21" customHeight="1" spans="1:9">
      <c r="A9" s="43" t="s">
        <v>265</v>
      </c>
      <c r="B9" s="43" t="s">
        <v>359</v>
      </c>
      <c r="C9" s="43" t="s">
        <v>40</v>
      </c>
      <c r="D9" s="44" t="s">
        <v>40</v>
      </c>
      <c r="E9" s="43" t="s">
        <v>40</v>
      </c>
      <c r="F9" s="43" t="s">
        <v>40</v>
      </c>
      <c r="G9" s="43" t="s">
        <v>382</v>
      </c>
      <c r="H9" s="43" t="s">
        <v>383</v>
      </c>
      <c r="I9" s="43" t="s">
        <v>384</v>
      </c>
    </row>
    <row r="10" ht="24" customHeight="1" spans="1:9">
      <c r="A10" s="43" t="s">
        <v>272</v>
      </c>
      <c r="B10" s="43" t="s">
        <v>359</v>
      </c>
      <c r="C10" s="43" t="s">
        <v>385</v>
      </c>
      <c r="D10" s="45">
        <v>1</v>
      </c>
      <c r="E10" s="43" t="s">
        <v>362</v>
      </c>
      <c r="F10" s="43" t="s">
        <v>363</v>
      </c>
      <c r="G10" s="43" t="s">
        <v>316</v>
      </c>
      <c r="H10" s="43" t="s">
        <v>386</v>
      </c>
      <c r="I10" s="43" t="s">
        <v>273</v>
      </c>
    </row>
    <row r="11" ht="25" customHeight="1" spans="1:9">
      <c r="A11" s="43" t="s">
        <v>279</v>
      </c>
      <c r="B11" s="43" t="s">
        <v>359</v>
      </c>
      <c r="C11" s="43" t="s">
        <v>40</v>
      </c>
      <c r="D11" s="44" t="s">
        <v>40</v>
      </c>
      <c r="E11" s="43" t="s">
        <v>40</v>
      </c>
      <c r="F11" s="43" t="s">
        <v>40</v>
      </c>
      <c r="G11" s="43" t="s">
        <v>387</v>
      </c>
      <c r="H11" s="43" t="s">
        <v>388</v>
      </c>
      <c r="I11" s="43" t="s">
        <v>389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F22" sqref="F22"/>
    </sheetView>
  </sheetViews>
  <sheetFormatPr defaultColWidth="9" defaultRowHeight="13.2" outlineLevelCol="7"/>
  <cols>
    <col min="1" max="1" width="9" style="1"/>
    <col min="2" max="2" width="13.5" style="1" customWidth="1"/>
    <col min="3" max="3" width="19.3333333333333" style="1" customWidth="1"/>
    <col min="4" max="7" width="9" style="1"/>
    <col min="8" max="9" width="33.1666666666667" style="1" customWidth="1"/>
    <col min="10" max="16384" width="9" style="1"/>
  </cols>
  <sheetData>
    <row r="1" ht="25.5" customHeight="1" spans="2:8">
      <c r="B1" s="2" t="s">
        <v>390</v>
      </c>
      <c r="C1" s="2"/>
      <c r="D1" s="2"/>
      <c r="E1" s="2"/>
      <c r="F1" s="2"/>
      <c r="G1" s="2"/>
      <c r="H1" s="2"/>
    </row>
    <row r="2" ht="14.25" customHeight="1" spans="1:8">
      <c r="A2" s="3"/>
      <c r="B2" s="3"/>
      <c r="C2" s="4"/>
      <c r="D2" s="4"/>
      <c r="E2" s="4"/>
      <c r="F2" s="4"/>
      <c r="G2" s="4"/>
      <c r="H2" s="5"/>
    </row>
    <row r="3" ht="12" customHeight="1" spans="2:8">
      <c r="B3" s="6" t="s">
        <v>1</v>
      </c>
      <c r="C3" s="7" t="s">
        <v>2</v>
      </c>
      <c r="D3" s="7"/>
      <c r="E3" s="8" t="s">
        <v>3</v>
      </c>
      <c r="F3" s="8"/>
      <c r="G3" s="9"/>
      <c r="H3" s="10"/>
    </row>
    <row r="4" ht="12" customHeight="1" spans="2:8">
      <c r="B4" s="6" t="s">
        <v>4</v>
      </c>
      <c r="C4" s="7" t="s">
        <v>5</v>
      </c>
      <c r="D4" s="7"/>
      <c r="E4" s="8" t="s">
        <v>6</v>
      </c>
      <c r="F4" s="8"/>
      <c r="G4" s="9"/>
      <c r="H4" s="10"/>
    </row>
    <row r="5" ht="12" customHeight="1" spans="2:8">
      <c r="B5" s="11" t="s">
        <v>7</v>
      </c>
      <c r="C5" s="7" t="str">
        <f>C4&amp;"_"&amp;"Test Report"&amp;"_"&amp;"vx.x"</f>
        <v>&lt;Project Code&gt;_Test Report_vx.x</v>
      </c>
      <c r="D5" s="7"/>
      <c r="E5" s="8" t="s">
        <v>8</v>
      </c>
      <c r="F5" s="8"/>
      <c r="G5" s="9"/>
      <c r="H5" s="12" t="s">
        <v>391</v>
      </c>
    </row>
    <row r="6" ht="21.75" customHeight="1" spans="1:8">
      <c r="A6" s="3"/>
      <c r="B6" s="11" t="s">
        <v>392</v>
      </c>
      <c r="C6" s="13" t="s">
        <v>393</v>
      </c>
      <c r="D6" s="13"/>
      <c r="E6" s="13"/>
      <c r="F6" s="13"/>
      <c r="G6" s="13"/>
      <c r="H6" s="13"/>
    </row>
    <row r="7" ht="14.25" customHeight="1" spans="1:8">
      <c r="A7" s="3"/>
      <c r="B7" s="14"/>
      <c r="C7" s="15"/>
      <c r="D7" s="4"/>
      <c r="E7" s="4"/>
      <c r="F7" s="4"/>
      <c r="G7" s="4"/>
      <c r="H7" s="5"/>
    </row>
    <row r="8" spans="2:8">
      <c r="B8" s="14"/>
      <c r="C8" s="15"/>
      <c r="D8" s="4"/>
      <c r="E8" s="4"/>
      <c r="F8" s="4"/>
      <c r="G8" s="4"/>
      <c r="H8" s="5"/>
    </row>
    <row r="9" spans="1:8">
      <c r="A9" s="16"/>
      <c r="B9" s="16"/>
      <c r="C9" s="16"/>
      <c r="D9" s="16"/>
      <c r="E9" s="16"/>
      <c r="F9" s="16"/>
      <c r="G9" s="16"/>
      <c r="H9" s="16"/>
    </row>
    <row r="10" spans="1:8">
      <c r="A10" s="17"/>
      <c r="B10" s="18" t="s">
        <v>21</v>
      </c>
      <c r="C10" s="19" t="s">
        <v>394</v>
      </c>
      <c r="D10" s="20" t="s">
        <v>34</v>
      </c>
      <c r="E10" s="19" t="s">
        <v>37</v>
      </c>
      <c r="F10" s="19" t="s">
        <v>39</v>
      </c>
      <c r="G10" s="21" t="s">
        <v>40</v>
      </c>
      <c r="H10" s="22" t="s">
        <v>395</v>
      </c>
    </row>
    <row r="11" spans="1:8">
      <c r="A11" s="23"/>
      <c r="B11" s="24">
        <v>1</v>
      </c>
      <c r="C11" s="25" t="str">
        <f>Module1!B2</f>
        <v>Module1 </v>
      </c>
      <c r="D11" s="26">
        <f>Module1!A6</f>
        <v>10</v>
      </c>
      <c r="E11" s="26">
        <f>Module1!B6</f>
        <v>0</v>
      </c>
      <c r="F11" s="26">
        <f>Module1!D6</f>
        <v>0</v>
      </c>
      <c r="G11" s="27">
        <f>Module1!E6</f>
        <v>0</v>
      </c>
      <c r="H11" s="28">
        <f>Module1!F6</f>
        <v>10</v>
      </c>
    </row>
    <row r="12" spans="1:8">
      <c r="A12" s="23"/>
      <c r="B12" s="24">
        <v>2</v>
      </c>
      <c r="C12" s="25" t="str">
        <f>Module2!B2</f>
        <v>Module2</v>
      </c>
      <c r="D12" s="26">
        <v>8</v>
      </c>
      <c r="E12" s="26">
        <f>Module2!B6</f>
        <v>0</v>
      </c>
      <c r="F12" s="26">
        <f>Module2!D6</f>
        <v>0</v>
      </c>
      <c r="G12" s="27">
        <f>Module2!E6</f>
        <v>0</v>
      </c>
      <c r="H12" s="28">
        <f>Module2!F6</f>
        <v>8</v>
      </c>
    </row>
    <row r="13" spans="1:8">
      <c r="A13" s="23"/>
      <c r="B13" s="24">
        <v>3</v>
      </c>
      <c r="C13" s="29" t="s">
        <v>31</v>
      </c>
      <c r="D13" s="26">
        <v>10</v>
      </c>
      <c r="E13" s="26">
        <v>0</v>
      </c>
      <c r="F13" s="26">
        <v>0</v>
      </c>
      <c r="G13" s="27">
        <v>0</v>
      </c>
      <c r="H13" s="28">
        <v>10</v>
      </c>
    </row>
    <row r="14" spans="1:8">
      <c r="A14" s="23"/>
      <c r="B14" s="30"/>
      <c r="C14" s="31" t="s">
        <v>396</v>
      </c>
      <c r="D14" s="32">
        <f>SUM(D9:D13)</f>
        <v>28</v>
      </c>
      <c r="E14" s="32">
        <f>SUM(E9:E13)</f>
        <v>0</v>
      </c>
      <c r="F14" s="32">
        <f>SUM(F9:F13)</f>
        <v>0</v>
      </c>
      <c r="G14" s="32">
        <f>SUM(G9:G13)</f>
        <v>0</v>
      </c>
      <c r="H14" s="33">
        <f>SUM(H9:H13)</f>
        <v>28</v>
      </c>
    </row>
    <row r="15" spans="1:8">
      <c r="A15" s="16"/>
      <c r="B15" s="34"/>
      <c r="C15" s="16"/>
      <c r="D15" s="35"/>
      <c r="E15" s="36"/>
      <c r="F15" s="36"/>
      <c r="G15" s="36"/>
      <c r="H15" s="36"/>
    </row>
    <row r="16" spans="1:8">
      <c r="A16" s="16"/>
      <c r="B16" s="16"/>
      <c r="C16" s="37" t="s">
        <v>397</v>
      </c>
      <c r="D16" s="16"/>
      <c r="E16" s="38">
        <f>(D14+E14)*100/(H14-G14)</f>
        <v>100</v>
      </c>
      <c r="F16" s="16" t="s">
        <v>398</v>
      </c>
      <c r="G16" s="16"/>
      <c r="H16" s="39"/>
    </row>
    <row r="17" spans="1:8">
      <c r="A17" s="16"/>
      <c r="B17" s="16"/>
      <c r="C17" s="37" t="s">
        <v>399</v>
      </c>
      <c r="D17" s="16"/>
      <c r="E17" s="38">
        <f>D14*100/(H14-G14)</f>
        <v>100</v>
      </c>
      <c r="F17" s="16" t="s">
        <v>398</v>
      </c>
      <c r="G17" s="16"/>
      <c r="H17" s="39"/>
    </row>
    <row r="18" spans="3:4">
      <c r="C18" s="16"/>
      <c r="D18" s="16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5ED280E-F51D-42B1-B363-4EC477D089ED}">
  <ds:schemaRefs/>
</ds:datastoreItem>
</file>

<file path=customXml/itemProps2.xml><?xml version="1.0" encoding="utf-8"?>
<ds:datastoreItem xmlns:ds="http://schemas.openxmlformats.org/officeDocument/2006/customXml" ds:itemID="{0FCAE63D-5380-40ED-A43E-1567E1C203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Test case List</vt:lpstr>
      <vt:lpstr>Module1</vt:lpstr>
      <vt:lpstr>Module2</vt:lpstr>
      <vt:lpstr>Module3</vt:lpstr>
      <vt:lpstr>TestDataModule1</vt:lpstr>
      <vt:lpstr>TestDataModule2</vt:lpstr>
      <vt:lpstr>TestDataModule3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pc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Diệu Linh Nguyễn Thị</cp:lastModifiedBy>
  <dcterms:created xsi:type="dcterms:W3CDTF">2011-06-02T09:10:00Z</dcterms:created>
  <cp:lastPrinted>2010-11-12T10:33:00Z</cp:lastPrinted>
  <dcterms:modified xsi:type="dcterms:W3CDTF">2025-12-16T16:49:47Z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ICV">
    <vt:lpwstr>4355698F48F84ED6A583B3510F960D78_12</vt:lpwstr>
  </property>
  <property fmtid="{D5CDD505-2E9C-101B-9397-08002B2CF9AE}" pid="11" name="KSOProductBuildVer">
    <vt:lpwstr>2057-12.2.0.23155</vt:lpwstr>
  </property>
</Properties>
</file>