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truongnhat/Desktop/Project-KTPM/project/templates/"/>
    </mc:Choice>
  </mc:AlternateContent>
  <xr:revisionPtr revIDLastSave="0" documentId="13_ncr:1_{70B0ABFE-55FB-8847-96C9-FE2F89941A7F}" xr6:coauthVersionLast="47" xr6:coauthVersionMax="47" xr10:uidLastSave="{00000000-0000-0000-0000-000000000000}"/>
  <bookViews>
    <workbookView xWindow="0" yWindow="680" windowWidth="34560" windowHeight="20060" tabRatio="821" activeTab="1" xr2:uid="{54D1C333-A8F3-504F-8D67-28F9DF72E520}"/>
  </bookViews>
  <sheets>
    <sheet name="Cover" sheetId="1" r:id="rId1"/>
    <sheet name="Test case List" sheetId="2" r:id="rId2"/>
    <sheet name="Module1" sheetId="3" r:id="rId3"/>
    <sheet name="TestDataModule1" sheetId="8" r:id="rId4"/>
    <sheet name="Module2" sheetId="4" r:id="rId5"/>
    <sheet name="Module3" sheetId="7" r:id="rId6"/>
    <sheet name="Test Report" sheetId="5" r:id="rId7"/>
  </sheets>
  <definedNames>
    <definedName name="_xlnm._FilterDatabase" localSheetId="2" hidden="1">Module1!$A$8:$H$15</definedName>
    <definedName name="_xlnm._FilterDatabase" localSheetId="4" hidden="1">Module2!$A$8:$H$15</definedName>
    <definedName name="_xlnm._FilterDatabase" localSheetId="5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A17" i="7"/>
  <c r="A15" i="7"/>
  <c r="A14" i="7"/>
  <c r="A12" i="7"/>
  <c r="A11" i="7"/>
  <c r="E6" i="7" s="1"/>
  <c r="C6" i="7" s="1"/>
  <c r="D6" i="7"/>
  <c r="B6" i="7"/>
  <c r="A6" i="7"/>
  <c r="C6" i="1"/>
  <c r="D3" i="2"/>
  <c r="D4" i="2"/>
  <c r="A6" i="3"/>
  <c r="D11" i="5" s="1"/>
  <c r="B6" i="3"/>
  <c r="E11" i="5" s="1"/>
  <c r="D6" i="3"/>
  <c r="A6" i="4"/>
  <c r="D12" i="5" s="1"/>
  <c r="B6" i="4"/>
  <c r="E12" i="5" s="1"/>
  <c r="D6" i="4"/>
  <c r="C6" i="4" s="1"/>
  <c r="F12" i="5" s="1"/>
  <c r="A10" i="4"/>
  <c r="E6" i="4"/>
  <c r="A11" i="4"/>
  <c r="A12" i="4"/>
  <c r="A14" i="4"/>
  <c r="A15" i="4"/>
  <c r="C5" i="5"/>
  <c r="C11" i="5"/>
  <c r="C12" i="5"/>
  <c r="H12" i="5"/>
  <c r="G12" i="5" l="1"/>
  <c r="E14" i="5"/>
  <c r="D14" i="5"/>
  <c r="H11" i="5"/>
  <c r="H14" i="5" s="1"/>
  <c r="G11" i="5"/>
  <c r="G14" i="5" s="1"/>
  <c r="E16" i="5" l="1"/>
  <c r="F11" i="5"/>
  <c r="F14" i="5" s="1"/>
  <c r="E1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C207F8D6-3BB3-F842-825C-656ED68ADD93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<sst xmlns="http://schemas.openxmlformats.org/spreadsheetml/2006/main" count="280" uniqueCount="164">
  <si>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</si>
  <si>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</si>
  <si>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</si>
  <si>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</si>
  <si>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</si>
  <si>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</si>
  <si>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</si>
  <si>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</si>
  <si>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</si>
  <si>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</si>
  <si>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</si>
  <si>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</si>
  <si>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</si>
  <si>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</si>
  <si>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</si>
  <si>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</si>
  <si>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</si>
  <si>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</si>
  <si>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</si>
  <si>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</si>
  <si>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</si>
  <si>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</si>
  <si>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</si>
  <si>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</si>
  <si>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</si>
  <si>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Module1</t>
  </si>
  <si>
    <t>Function B</t>
  </si>
  <si>
    <t>Function C</t>
  </si>
  <si>
    <t>Function D</t>
  </si>
  <si>
    <t>Module2</t>
  </si>
  <si>
    <t>Function E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</si>
  <si>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</si>
  <si>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</si>
  <si>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</si>
  <si>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</si>
  <si>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</si>
  <si>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</si>
  <si>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</si>
  <si>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</si>
  <si>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</si>
  <si>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</si>
  <si>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</si>
  <si>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</si>
  <si>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</si>
  <si>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</si>
  <si>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</si>
  <si>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</si>
  <si>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</si>
  <si>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</si>
  <si>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</si>
  <si>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&lt;Test case 2&gt;</t>
  </si>
  <si>
    <t>&lt;Test case 3&gt;</t>
  </si>
  <si>
    <t>&lt;Test case 4&gt;</t>
  </si>
  <si>
    <t>&lt;Test case 5&gt;</t>
  </si>
  <si>
    <t>&lt;Test case 6&gt;</t>
  </si>
  <si>
    <r>
      <t xml:space="preserve">&lt;Brief description of this case: what is tested?&gt;
</t>
    </r>
    <r>
      <rPr>
        <sz val="10"/>
        <rFont val="Tahoma"/>
        <family val="2"/>
      </rPr>
      <t>Ex: Test viewing "Staff Information" form.</t>
    </r>
  </si>
  <si>
    <r>
      <t xml:space="preserve">&lt;Describe steps to perform this case&gt;
</t>
    </r>
    <r>
      <rPr>
        <sz val="10"/>
        <rFont val="Tahoma"/>
        <family val="2"/>
      </rPr>
      <t>Ex:
1. Login the system with Manager role.
2. Click "Staff" tab in the left menu.</t>
    </r>
  </si>
  <si>
    <r>
      <t xml:space="preserve">&lt;Describe results which meet customer's requirement&gt;
</t>
    </r>
    <r>
      <rPr>
        <sz val="10"/>
        <color indexed="8"/>
        <rFont val="Tahoma"/>
        <family val="2"/>
      </rPr>
      <t>Ex:
The "Staff information" view form is displayed with the folowing informations:
- Staff name
- Home address
- Company name
- …</t>
    </r>
  </si>
  <si>
    <t>&lt;List all test cases or condition that must be done before performing this case&gt;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</si>
  <si>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</si>
  <si>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</si>
  <si>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</si>
  <si>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</si>
  <si>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</si>
  <si>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</si>
  <si>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</si>
  <si>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</si>
  <si>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</si>
  <si>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</si>
  <si>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</si>
  <si>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Test data</t>
    <phoneticPr fontId="0" type="noConversion"/>
  </si>
  <si>
    <t>CusList-001</t>
    <phoneticPr fontId="0" type="noConversion"/>
  </si>
  <si>
    <t>1. Login the system with Manager role.
2. Click [Search] button in the left side of home screen.
3. On [Query] dialog, select [VIP] in [Customer Type] combobox
4. Click  [Search] button</t>
    <phoneticPr fontId="0" type="noConversion"/>
  </si>
  <si>
    <t>TestData01</t>
    <phoneticPr fontId="0" type="noConversion"/>
  </si>
  <si>
    <t>TestData02</t>
    <phoneticPr fontId="0" type="noConversion"/>
  </si>
  <si>
    <t>1. Login the system with Manager role.
2. Click [Search] button in the left side of home screen.
3. On [Query] dialog, select [Member] in [Customer Type] combobox
4. Click  [Search] button</t>
    <phoneticPr fontId="0" type="noConversion"/>
  </si>
  <si>
    <t>Description</t>
    <phoneticPr fontId="0" type="noConversion"/>
  </si>
  <si>
    <t>In database, table 1 [CustomerVIP] have more than 10 records</t>
    <phoneticPr fontId="0" type="noConversion"/>
  </si>
  <si>
    <t>In database, table 2 [CustomerMember] have more than 50 records</t>
    <phoneticPr fontId="0" type="noConversion"/>
  </si>
  <si>
    <t>Query VIP customer list from database (table 1)</t>
    <phoneticPr fontId="0" type="noConversion"/>
  </si>
  <si>
    <t>Query Member customer list from database (table 2)</t>
    <phoneticPr fontId="0" type="noConversion"/>
  </si>
  <si>
    <t>4. List with 10 VIP customers is displayed on [Query] dialog</t>
    <phoneticPr fontId="0" type="noConversion"/>
  </si>
  <si>
    <t>4. List with 50 Members customer is displayed on [Query] dialog</t>
    <phoneticPr fontId="0" type="noConversion"/>
  </si>
  <si>
    <t>Login</t>
  </si>
  <si>
    <t>ShoppingCart</t>
  </si>
  <si>
    <t>Order payment</t>
  </si>
  <si>
    <t>Module3</t>
  </si>
  <si>
    <t>Test data</t>
  </si>
  <si>
    <t>TestData01</t>
  </si>
  <si>
    <t>TestData02</t>
  </si>
  <si>
    <t>TC_LOGIN_01</t>
  </si>
  <si>
    <t>Logout successfully from the system</t>
  </si>
  <si>
    <t>User is logged out and redirected to login page</t>
  </si>
  <si>
    <t>Login with valid customer username and valid password</t>
  </si>
  <si>
    <t>1. Open Login page
2. Enter valid customer username
3. Enter valid password
4. Click Login</t>
  </si>
  <si>
    <t>User logs in successfully and is redirected to customer dashboard</t>
  </si>
  <si>
    <t>TC_LOGIN_02</t>
  </si>
  <si>
    <t>Login with valid admin username and valid password</t>
  </si>
  <si>
    <t>1. Open Login page
2. Enter valid admin username
3. Enter valid password
4. Click Login</t>
  </si>
  <si>
    <t>TC_LOGIN_03</t>
  </si>
  <si>
    <t>Verify system redirects user to correct page after login</t>
  </si>
  <si>
    <t>1. Login with valid credentials</t>
  </si>
  <si>
    <t>User is redirected to correct page based on role</t>
  </si>
  <si>
    <t>TC_LOGIN_04</t>
  </si>
  <si>
    <t>Login with invalid username and invalid password</t>
  </si>
  <si>
    <t>1. Open Login page
2. Enter invalid username
3. Enter invalid password
4. Click Login</t>
  </si>
  <si>
    <t>Login fails and error message is displayed</t>
  </si>
  <si>
    <t>TC_LOGIN_05</t>
  </si>
  <si>
    <t>Verify error message is displayed when login fails</t>
  </si>
  <si>
    <t>1. Login with invalid credentials</t>
  </si>
  <si>
    <t>Appropriate error message is displayed</t>
  </si>
  <si>
    <t>Invalid credentials</t>
  </si>
  <si>
    <t>TC_LOGIN_06</t>
  </si>
  <si>
    <t>Login with empty username or password field</t>
  </si>
  <si>
    <t>1. Open Login page
2. Leave username or password empty
3. Click Login</t>
  </si>
  <si>
    <t>Validation message is displayed</t>
  </si>
  <si>
    <t>TC_LOGIN_07</t>
  </si>
  <si>
    <t>Verify password characters are masked during input</t>
  </si>
  <si>
    <t>Password characters are displayed as dots or asterisks</t>
  </si>
  <si>
    <t>TC_LOGIN_08</t>
  </si>
  <si>
    <t>Verify password is not displayed in plain text after typing</t>
  </si>
  <si>
    <t>1. Enter password in password field</t>
  </si>
  <si>
    <t>Password is hidden and not readable</t>
  </si>
  <si>
    <t>TC_LOGOUT_01</t>
  </si>
  <si>
    <t>TC_LOGOUT_02</t>
  </si>
  <si>
    <t>Verify session/token is cleared after logout</t>
  </si>
  <si>
    <t>Session/token is cleared</t>
  </si>
  <si>
    <t>TC_LOGOUT_03</t>
  </si>
  <si>
    <t>Verify user cannot access protected pages after logout</t>
  </si>
  <si>
    <t>User is redirected to login page</t>
  </si>
  <si>
    <t>1. Open Login page
2. Enter valid username password
3. Click Login
4. Click Logout</t>
  </si>
  <si>
    <t>1. Open Login page
2. Enter password -&gt; Click Login</t>
  </si>
  <si>
    <t>TestDataModule1</t>
  </si>
  <si>
    <t>Test Data ID</t>
  </si>
  <si>
    <t>Username</t>
  </si>
  <si>
    <t>Password</t>
  </si>
  <si>
    <t>Role</t>
  </si>
  <si>
    <t>Email</t>
  </si>
  <si>
    <t>Account Status</t>
  </si>
  <si>
    <t>customer01</t>
  </si>
  <si>
    <t>cust@123</t>
  </si>
  <si>
    <t>Customer</t>
  </si>
  <si>
    <t>customer01@mail.com</t>
  </si>
  <si>
    <t>Active</t>
  </si>
  <si>
    <t>Valid customer account</t>
  </si>
  <si>
    <t>admin01</t>
  </si>
  <si>
    <t>admin@123</t>
  </si>
  <si>
    <t>Admin</t>
  </si>
  <si>
    <t>admin01@mail.com</t>
  </si>
  <si>
    <t>Valid admin account</t>
  </si>
  <si>
    <t>customer02</t>
  </si>
  <si>
    <t>wrongpass</t>
  </si>
  <si>
    <t>customer02@mail.com</t>
  </si>
  <si>
    <t>Invalid password</t>
  </si>
  <si>
    <t>invalidUser</t>
  </si>
  <si>
    <t>TestData03</t>
  </si>
  <si>
    <t>TestData04</t>
  </si>
  <si>
    <t>TestData05</t>
  </si>
  <si>
    <t>TestData06</t>
  </si>
  <si>
    <t>TestData07</t>
  </si>
  <si>
    <t>TestData08</t>
  </si>
  <si>
    <t>TestData09</t>
  </si>
  <si>
    <t>TestData10</t>
  </si>
  <si>
    <t>TestData11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</si>
</sst>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26">
    <font>
      <sz val="11"/>
      <name val="ＭＳ Ｐゴシック"/>
      <family val="3"/>
      <charset val="128"/>
    </font>
    <font>
      <sz val="10"/>
      <name val="Arial"/>
      <family val="2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b/>
      <sz val="8"/>
      <color indexed="8"/>
      <name val="Times New Roman"/>
      <family val="1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b/>
      <sz val="16"/>
      <name val="Times New Roman"/>
      <family val="1"/>
    </font>
    <font>
      <sz val="16"/>
      <name val="Times New Roman"/>
      <family val="1"/>
    </font>
    <font>
      <sz val="8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22" fillId="0" borderId="0"/>
    <xf numFmtId="0" fontId="22" fillId="0" borderId="0"/>
    <xf numFmtId="0" fontId="2" fillId="0" borderId="0"/>
  </cellStyleXfs>
  <cellXfs count="16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indent="1"/>
    </xf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0" xfId="0" applyFont="1" applyFill="1" applyAlignment="1">
      <alignment horizontal="left" indent="1"/>
    </xf>
    <xf numFmtId="0" fontId="8" fillId="0" borderId="0" xfId="0" applyFont="1" applyAlignment="1">
      <alignment horizontal="left" indent="1"/>
    </xf>
    <xf numFmtId="0" fontId="3" fillId="2" borderId="0" xfId="0" applyFont="1" applyFill="1"/>
    <xf numFmtId="0" fontId="7" fillId="2" borderId="2" xfId="0" applyFont="1" applyFill="1" applyBorder="1" applyAlignment="1">
      <alignment horizontal="left"/>
    </xf>
    <xf numFmtId="0" fontId="3" fillId="0" borderId="3" xfId="0" applyFont="1" applyBorder="1"/>
    <xf numFmtId="0" fontId="7" fillId="2" borderId="2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left" indent="1"/>
    </xf>
    <xf numFmtId="0" fontId="7" fillId="2" borderId="0" xfId="0" applyFont="1" applyFill="1"/>
    <xf numFmtId="0" fontId="8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64" fontId="9" fillId="3" borderId="4" xfId="0" applyNumberFormat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3" fillId="0" borderId="0" xfId="0" applyFont="1" applyAlignment="1">
      <alignment vertical="top"/>
    </xf>
    <xf numFmtId="0" fontId="8" fillId="0" borderId="7" xfId="0" applyFont="1" applyBorder="1" applyAlignment="1">
      <alignment vertical="top" wrapText="1"/>
    </xf>
    <xf numFmtId="49" fontId="3" fillId="0" borderId="8" xfId="0" applyNumberFormat="1" applyFont="1" applyBorder="1" applyAlignment="1">
      <alignment vertical="top"/>
    </xf>
    <xf numFmtId="0" fontId="3" fillId="0" borderId="8" xfId="0" applyFont="1" applyBorder="1" applyAlignment="1">
      <alignment vertical="top"/>
    </xf>
    <xf numFmtId="15" fontId="3" fillId="0" borderId="8" xfId="0" applyNumberFormat="1" applyFont="1" applyBorder="1" applyAlignment="1">
      <alignment vertical="top"/>
    </xf>
    <xf numFmtId="0" fontId="8" fillId="0" borderId="9" xfId="0" applyFont="1" applyBorder="1" applyAlignment="1">
      <alignment vertical="top" wrapText="1"/>
    </xf>
    <xf numFmtId="164" fontId="3" fillId="0" borderId="7" xfId="0" applyNumberFormat="1" applyFont="1" applyBorder="1" applyAlignment="1">
      <alignment vertical="top"/>
    </xf>
    <xf numFmtId="0" fontId="3" fillId="0" borderId="9" xfId="0" applyFont="1" applyBorder="1" applyAlignment="1">
      <alignment vertical="top"/>
    </xf>
    <xf numFmtId="164" fontId="3" fillId="0" borderId="10" xfId="0" applyNumberFormat="1" applyFont="1" applyBorder="1" applyAlignment="1">
      <alignment vertical="top"/>
    </xf>
    <xf numFmtId="49" fontId="3" fillId="0" borderId="11" xfId="0" applyNumberFormat="1" applyFont="1" applyBorder="1" applyAlignment="1">
      <alignment vertical="top"/>
    </xf>
    <xf numFmtId="0" fontId="3" fillId="0" borderId="11" xfId="0" applyFont="1" applyBorder="1" applyAlignment="1">
      <alignment vertical="top"/>
    </xf>
    <xf numFmtId="0" fontId="3" fillId="0" borderId="12" xfId="0" applyFont="1" applyBorder="1" applyAlignment="1">
      <alignment vertical="top"/>
    </xf>
    <xf numFmtId="1" fontId="3" fillId="2" borderId="0" xfId="0" applyNumberFormat="1" applyFont="1" applyFill="1"/>
    <xf numFmtId="0" fontId="3" fillId="2" borderId="0" xfId="0" applyFont="1" applyFill="1" applyAlignment="1">
      <alignment horizontal="left"/>
    </xf>
    <xf numFmtId="1" fontId="3" fillId="2" borderId="0" xfId="0" applyNumberFormat="1" applyFont="1" applyFill="1" applyProtection="1">
      <protection hidden="1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0" fontId="3" fillId="2" borderId="0" xfId="0" applyFont="1" applyFill="1" applyAlignment="1">
      <alignment wrapText="1"/>
    </xf>
    <xf numFmtId="1" fontId="7" fillId="2" borderId="0" xfId="0" applyNumberFormat="1" applyFont="1" applyFill="1"/>
    <xf numFmtId="0" fontId="3" fillId="2" borderId="0" xfId="0" applyFont="1" applyFill="1" applyAlignment="1">
      <alignment vertical="center"/>
    </xf>
    <xf numFmtId="1" fontId="3" fillId="2" borderId="0" xfId="0" applyNumberFormat="1" applyFont="1" applyFill="1" applyAlignment="1" applyProtection="1">
      <alignment vertical="center"/>
      <protection hidden="1"/>
    </xf>
    <xf numFmtId="0" fontId="3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/>
    </xf>
    <xf numFmtId="1" fontId="9" fillId="4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1" fontId="3" fillId="2" borderId="7" xfId="0" applyNumberFormat="1" applyFont="1" applyFill="1" applyBorder="1" applyAlignment="1">
      <alignment vertical="center"/>
    </xf>
    <xf numFmtId="49" fontId="3" fillId="2" borderId="8" xfId="0" applyNumberFormat="1" applyFont="1" applyFill="1" applyBorder="1" applyAlignment="1">
      <alignment horizontal="left" vertical="center"/>
    </xf>
    <xf numFmtId="0" fontId="15" fillId="2" borderId="8" xfId="1" applyNumberFormat="1" applyFont="1" applyFill="1" applyBorder="1" applyAlignment="1" applyProtection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1" fontId="3" fillId="2" borderId="10" xfId="0" applyNumberFormat="1" applyFont="1" applyFill="1" applyBorder="1" applyAlignment="1">
      <alignment vertical="center"/>
    </xf>
    <xf numFmtId="49" fontId="3" fillId="2" borderId="11" xfId="0" applyNumberFormat="1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/>
    </xf>
    <xf numFmtId="0" fontId="17" fillId="2" borderId="0" xfId="0" applyFont="1" applyFill="1"/>
    <xf numFmtId="0" fontId="18" fillId="2" borderId="14" xfId="0" applyFont="1" applyFill="1" applyBorder="1"/>
    <xf numFmtId="0" fontId="18" fillId="2" borderId="14" xfId="0" applyFont="1" applyFill="1" applyBorder="1" applyAlignment="1">
      <alignment wrapText="1"/>
    </xf>
    <xf numFmtId="0" fontId="3" fillId="2" borderId="14" xfId="0" applyFont="1" applyFill="1" applyBorder="1" applyAlignment="1">
      <alignment wrapText="1"/>
    </xf>
    <xf numFmtId="0" fontId="14" fillId="2" borderId="0" xfId="0" applyFont="1" applyFill="1" applyAlignment="1">
      <alignment wrapText="1"/>
    </xf>
    <xf numFmtId="0" fontId="17" fillId="2" borderId="0" xfId="0" applyFont="1" applyFill="1" applyAlignment="1">
      <alignment wrapText="1"/>
    </xf>
    <xf numFmtId="0" fontId="18" fillId="2" borderId="0" xfId="0" applyFont="1" applyFill="1"/>
    <xf numFmtId="0" fontId="14" fillId="2" borderId="15" xfId="3" applyFont="1" applyFill="1" applyBorder="1" applyAlignment="1">
      <alignment horizontal="left" wrapText="1"/>
    </xf>
    <xf numFmtId="0" fontId="14" fillId="2" borderId="16" xfId="3" applyFont="1" applyFill="1" applyBorder="1" applyAlignment="1">
      <alignment horizontal="left" wrapText="1"/>
    </xf>
    <xf numFmtId="0" fontId="12" fillId="2" borderId="0" xfId="0" applyFont="1" applyFill="1"/>
    <xf numFmtId="0" fontId="12" fillId="2" borderId="16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17" fillId="2" borderId="0" xfId="0" applyFont="1" applyFill="1" applyAlignment="1">
      <alignment horizontal="center" wrapText="1"/>
    </xf>
    <xf numFmtId="0" fontId="18" fillId="2" borderId="17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wrapText="1"/>
    </xf>
    <xf numFmtId="0" fontId="9" fillId="3" borderId="2" xfId="3" applyFont="1" applyFill="1" applyBorder="1" applyAlignment="1">
      <alignment horizontal="center" vertical="center" wrapText="1"/>
    </xf>
    <xf numFmtId="0" fontId="9" fillId="3" borderId="20" xfId="3" applyFont="1" applyFill="1" applyBorder="1" applyAlignment="1">
      <alignment horizontal="center" vertical="center" wrapText="1"/>
    </xf>
    <xf numFmtId="0" fontId="13" fillId="2" borderId="0" xfId="3" applyFont="1" applyFill="1" applyAlignment="1">
      <alignment horizontal="center" vertical="center" wrapText="1"/>
    </xf>
    <xf numFmtId="0" fontId="14" fillId="5" borderId="1" xfId="3" applyFont="1" applyFill="1" applyBorder="1" applyAlignment="1">
      <alignment horizontal="left" vertical="center"/>
    </xf>
    <xf numFmtId="0" fontId="14" fillId="5" borderId="21" xfId="3" applyFont="1" applyFill="1" applyBorder="1" applyAlignment="1">
      <alignment horizontal="left" vertical="center"/>
    </xf>
    <xf numFmtId="0" fontId="14" fillId="5" borderId="3" xfId="3" applyFont="1" applyFill="1" applyBorder="1" applyAlignment="1">
      <alignment horizontal="left" vertical="center"/>
    </xf>
    <xf numFmtId="0" fontId="13" fillId="2" borderId="0" xfId="3" applyFont="1" applyFill="1" applyAlignment="1">
      <alignment horizontal="left" vertical="center"/>
    </xf>
    <xf numFmtId="0" fontId="3" fillId="2" borderId="2" xfId="3" applyFont="1" applyFill="1" applyBorder="1" applyAlignment="1">
      <alignment vertical="top" wrapText="1"/>
    </xf>
    <xf numFmtId="0" fontId="8" fillId="2" borderId="2" xfId="3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vertical="top" wrapText="1"/>
    </xf>
    <xf numFmtId="0" fontId="17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/>
    </xf>
    <xf numFmtId="0" fontId="18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/>
    <xf numFmtId="0" fontId="18" fillId="2" borderId="2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vertical="top" wrapText="1"/>
    </xf>
    <xf numFmtId="0" fontId="14" fillId="0" borderId="23" xfId="3" applyFont="1" applyBorder="1" applyAlignment="1">
      <alignment horizontal="left" vertical="center"/>
    </xf>
    <xf numFmtId="0" fontId="3" fillId="2" borderId="0" xfId="3" applyFont="1" applyFill="1" applyAlignment="1">
      <alignment vertical="top" wrapText="1"/>
    </xf>
    <xf numFmtId="0" fontId="14" fillId="2" borderId="0" xfId="2" applyFont="1" applyFill="1"/>
    <xf numFmtId="0" fontId="3" fillId="2" borderId="0" xfId="2" applyFont="1" applyFill="1"/>
    <xf numFmtId="164" fontId="3" fillId="2" borderId="0" xfId="2" applyNumberFormat="1" applyFont="1" applyFill="1"/>
    <xf numFmtId="0" fontId="7" fillId="2" borderId="3" xfId="0" applyFont="1" applyFill="1" applyBorder="1" applyAlignment="1">
      <alignment horizontal="left"/>
    </xf>
    <xf numFmtId="0" fontId="3" fillId="2" borderId="3" xfId="0" applyFont="1" applyFill="1" applyBorder="1" applyAlignment="1">
      <alignment vertical="top"/>
    </xf>
    <xf numFmtId="0" fontId="7" fillId="2" borderId="2" xfId="0" applyFont="1" applyFill="1" applyBorder="1" applyAlignment="1">
      <alignment vertical="center"/>
    </xf>
    <xf numFmtId="0" fontId="8" fillId="2" borderId="3" xfId="0" applyFont="1" applyFill="1" applyBorder="1" applyAlignment="1">
      <alignment vertical="top"/>
    </xf>
    <xf numFmtId="0" fontId="8" fillId="2" borderId="0" xfId="2" applyFont="1" applyFill="1"/>
    <xf numFmtId="0" fontId="3" fillId="2" borderId="24" xfId="0" applyFont="1" applyFill="1" applyBorder="1"/>
    <xf numFmtId="0" fontId="9" fillId="3" borderId="25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/>
    </xf>
    <xf numFmtId="0" fontId="3" fillId="2" borderId="8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20" fillId="3" borderId="30" xfId="0" applyFont="1" applyFill="1" applyBorder="1" applyAlignment="1">
      <alignment horizontal="center"/>
    </xf>
    <xf numFmtId="0" fontId="9" fillId="3" borderId="11" xfId="0" applyFont="1" applyFill="1" applyBorder="1"/>
    <xf numFmtId="0" fontId="20" fillId="3" borderId="11" xfId="0" applyFont="1" applyFill="1" applyBorder="1" applyAlignment="1">
      <alignment horizontal="center"/>
    </xf>
    <xf numFmtId="0" fontId="20" fillId="3" borderId="3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0" fontId="3" fillId="2" borderId="0" xfId="0" applyNumberFormat="1" applyFont="1" applyFill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left"/>
    </xf>
    <xf numFmtId="2" fontId="21" fillId="2" borderId="0" xfId="0" applyNumberFormat="1" applyFont="1" applyFill="1" applyAlignment="1">
      <alignment horizontal="right" wrapText="1"/>
    </xf>
    <xf numFmtId="0" fontId="1" fillId="2" borderId="2" xfId="3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vertical="center" wrapText="1"/>
    </xf>
    <xf numFmtId="0" fontId="16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2" borderId="8" xfId="1" applyNumberFormat="1" applyFill="1" applyBorder="1" applyAlignment="1" applyProtection="1">
      <alignment horizontal="left" vertical="center"/>
    </xf>
    <xf numFmtId="0" fontId="0" fillId="0" borderId="35" xfId="0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35" xfId="3" applyFont="1" applyFill="1" applyBorder="1" applyAlignment="1">
      <alignment horizontal="center" vertical="center" wrapText="1"/>
    </xf>
    <xf numFmtId="0" fontId="0" fillId="0" borderId="35" xfId="0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0" fillId="0" borderId="35" xfId="0" applyBorder="1" applyAlignment="1">
      <alignment vertical="center" wrapText="1"/>
    </xf>
    <xf numFmtId="0" fontId="18" fillId="2" borderId="35" xfId="0" applyFont="1" applyFill="1" applyBorder="1" applyAlignment="1">
      <alignment horizontal="left" vertical="center" wrapText="1"/>
    </xf>
    <xf numFmtId="0" fontId="13" fillId="0" borderId="0" xfId="3" applyFont="1" applyAlignment="1">
      <alignment horizontal="left" vertical="center"/>
    </xf>
    <xf numFmtId="0" fontId="18" fillId="0" borderId="0" xfId="0" applyFont="1"/>
    <xf numFmtId="0" fontId="9" fillId="3" borderId="35" xfId="3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vertical="center" wrapText="1"/>
    </xf>
    <xf numFmtId="0" fontId="3" fillId="2" borderId="35" xfId="0" applyFont="1" applyFill="1" applyBorder="1" applyAlignment="1">
      <alignment vertical="top" wrapText="1"/>
    </xf>
    <xf numFmtId="0" fontId="3" fillId="2" borderId="35" xfId="3" applyFont="1" applyFill="1" applyBorder="1" applyAlignment="1">
      <alignment vertical="center" wrapText="1"/>
    </xf>
    <xf numFmtId="0" fontId="3" fillId="2" borderId="35" xfId="0" applyFont="1" applyFill="1" applyBorder="1"/>
    <xf numFmtId="0" fontId="3" fillId="0" borderId="35" xfId="3" applyFont="1" applyBorder="1" applyAlignment="1">
      <alignment horizontal="left" vertical="center" wrapText="1"/>
    </xf>
    <xf numFmtId="0" fontId="14" fillId="0" borderId="35" xfId="3" applyFont="1" applyBorder="1" applyAlignment="1">
      <alignment horizontal="left" vertical="center"/>
    </xf>
    <xf numFmtId="0" fontId="3" fillId="0" borderId="35" xfId="3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2" borderId="35" xfId="3" applyFont="1" applyFill="1" applyBorder="1" applyAlignment="1">
      <alignment horizontal="center" vertical="center" wrapText="1"/>
    </xf>
    <xf numFmtId="0" fontId="0" fillId="0" borderId="35" xfId="0" applyBorder="1" applyAlignment="1">
      <alignment horizontal="left" vertical="center"/>
    </xf>
    <xf numFmtId="0" fontId="3" fillId="2" borderId="35" xfId="3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center" vertical="center"/>
    </xf>
    <xf numFmtId="0" fontId="23" fillId="6" borderId="35" xfId="0" applyFont="1" applyFill="1" applyBorder="1"/>
    <xf numFmtId="0" fontId="24" fillId="0" borderId="35" xfId="0" applyFont="1" applyBorder="1"/>
    <xf numFmtId="0" fontId="6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" fontId="7" fillId="2" borderId="2" xfId="0" applyNumberFormat="1" applyFont="1" applyFill="1" applyBorder="1" applyAlignment="1">
      <alignment vertical="center" wrapText="1"/>
    </xf>
    <xf numFmtId="0" fontId="8" fillId="2" borderId="2" xfId="0" applyFont="1" applyFill="1" applyBorder="1" applyAlignment="1">
      <alignment vertical="top" wrapText="1"/>
    </xf>
    <xf numFmtId="1" fontId="7" fillId="2" borderId="1" xfId="0" applyNumberFormat="1" applyFont="1" applyFill="1" applyBorder="1"/>
    <xf numFmtId="0" fontId="8" fillId="2" borderId="2" xfId="0" applyFont="1" applyFill="1" applyBorder="1" applyAlignment="1">
      <alignment horizontal="left"/>
    </xf>
    <xf numFmtId="0" fontId="18" fillId="2" borderId="32" xfId="0" applyFont="1" applyFill="1" applyBorder="1" applyAlignment="1">
      <alignment horizontal="center" vertical="center" wrapText="1"/>
    </xf>
    <xf numFmtId="0" fontId="8" fillId="2" borderId="33" xfId="3" applyFont="1" applyFill="1" applyBorder="1" applyAlignment="1">
      <alignment horizontal="left" wrapText="1"/>
    </xf>
    <xf numFmtId="0" fontId="8" fillId="2" borderId="34" xfId="3" applyFont="1" applyFill="1" applyBorder="1" applyAlignment="1">
      <alignment horizontal="left" wrapText="1"/>
    </xf>
    <xf numFmtId="0" fontId="12" fillId="2" borderId="3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/>
    </xf>
    <xf numFmtId="0" fontId="8" fillId="2" borderId="2" xfId="2" applyFont="1" applyFill="1" applyBorder="1" applyAlignment="1">
      <alignment vertical="top"/>
    </xf>
    <xf numFmtId="0" fontId="6" fillId="2" borderId="0" xfId="2" applyFont="1" applyFill="1" applyAlignment="1">
      <alignment horizontal="center"/>
    </xf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/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154" t="s">
        <v>0</v>
      </c>
      <c r="D2" s="154"/>
      <c r="E2" s="154"/>
      <c r="F2" s="154"/>
      <c r="G2" s="154"/>
    </row>
    <row r="3" spans="1:7">
      <c r="B3" s="6"/>
      <c r="C3" s="7"/>
      <c r="F3" s="8"/>
    </row>
    <row r="4" spans="1:7" ht="14.25" customHeight="1">
      <c r="B4" s="9" t="s">
        <v>1</v>
      </c>
      <c r="C4" s="155" t="s">
        <v>2</v>
      </c>
      <c r="D4" s="155"/>
      <c r="E4" s="155"/>
      <c r="F4" s="9" t="s">
        <v>3</v>
      </c>
      <c r="G4" s="10"/>
    </row>
    <row r="5" spans="1:7" ht="14.25" customHeight="1">
      <c r="B5" s="9" t="s">
        <v>4</v>
      </c>
      <c r="C5" s="155" t="s">
        <v>5</v>
      </c>
      <c r="D5" s="155"/>
      <c r="E5" s="155"/>
      <c r="F5" s="9" t="s">
        <v>6</v>
      </c>
      <c r="G5" s="10"/>
    </row>
    <row r="6" spans="1:7" ht="15.75" customHeight="1">
      <c r="B6" s="156" t="s">
        <v>7</v>
      </c>
      <c r="C6" s="157" t="str">
        <f>C5&amp;"_"&amp;"XXX"&amp;"_"&amp;"vx.x"</f>
        <v>&lt;Project Code&gt;_XXX_vx.x</v>
      </c>
      <c r="D6" s="157"/>
      <c r="E6" s="157"/>
      <c r="F6" s="9" t="s">
        <v>8</v>
      </c>
      <c r="G6" s="12"/>
    </row>
    <row r="7" spans="1:7" ht="13.5" customHeight="1">
      <c r="B7" s="156"/>
      <c r="C7" s="157"/>
      <c r="D7" s="157"/>
      <c r="E7" s="157"/>
      <c r="F7" s="9" t="s">
        <v>9</v>
      </c>
      <c r="G7" s="12"/>
    </row>
    <row r="8" spans="1:7">
      <c r="B8" s="13"/>
      <c r="C8" s="14"/>
      <c r="F8" s="6"/>
      <c r="G8" s="7"/>
    </row>
    <row r="10" spans="1:7">
      <c r="B10" s="15" t="s">
        <v>10</v>
      </c>
    </row>
    <row r="11" spans="1:7" s="16" customFormat="1">
      <c r="B11" s="17" t="s">
        <v>11</v>
      </c>
      <c r="C11" s="18" t="s">
        <v>9</v>
      </c>
      <c r="D11" s="18" t="s">
        <v>12</v>
      </c>
      <c r="E11" s="18" t="s">
        <v>13</v>
      </c>
      <c r="F11" s="18" t="s">
        <v>14</v>
      </c>
      <c r="G11" s="19" t="s">
        <v>15</v>
      </c>
    </row>
    <row r="12" spans="1:7" s="20" customFormat="1" ht="28">
      <c r="B12" s="21" t="s">
        <v>16</v>
      </c>
      <c r="C12" s="22"/>
      <c r="D12" s="23"/>
      <c r="E12" s="23"/>
      <c r="F12" s="24"/>
      <c r="G12" s="25" t="s">
        <v>69</v>
      </c>
    </row>
    <row r="13" spans="1:7" s="20" customFormat="1" ht="21.75" customHeight="1">
      <c r="B13" s="26"/>
      <c r="C13" s="22"/>
      <c r="D13" s="23"/>
      <c r="E13" s="23"/>
      <c r="F13" s="23"/>
      <c r="G13" s="27"/>
    </row>
    <row r="14" spans="1:7" s="20" customFormat="1" ht="19.5" customHeight="1">
      <c r="B14" s="26"/>
      <c r="C14" s="22"/>
      <c r="D14" s="23"/>
      <c r="E14" s="23"/>
      <c r="F14" s="23"/>
      <c r="G14" s="27"/>
    </row>
    <row r="15" spans="1:7" s="20" customFormat="1" ht="21.75" customHeight="1">
      <c r="B15" s="26"/>
      <c r="C15" s="22"/>
      <c r="D15" s="23"/>
      <c r="E15" s="23"/>
      <c r="F15" s="23"/>
      <c r="G15" s="27"/>
    </row>
    <row r="16" spans="1:7" s="20" customFormat="1" ht="19.5" customHeight="1">
      <c r="B16" s="26"/>
      <c r="C16" s="22"/>
      <c r="D16" s="23"/>
      <c r="E16" s="23"/>
      <c r="F16" s="23"/>
      <c r="G16" s="27"/>
    </row>
    <row r="17" spans="2:7" s="20" customFormat="1" ht="21.75" customHeight="1">
      <c r="B17" s="26"/>
      <c r="C17" s="22"/>
      <c r="D17" s="23"/>
      <c r="E17" s="23"/>
      <c r="F17" s="23"/>
      <c r="G17" s="27"/>
    </row>
    <row r="18" spans="2:7" s="20" customFormat="1" ht="19.5" customHeight="1">
      <c r="B18" s="28"/>
      <c r="C18" s="29"/>
      <c r="D18" s="30"/>
      <c r="E18" s="30"/>
      <c r="F18" s="30"/>
      <c r="G18" s="31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tabSelected="1" zoomScale="178" workbookViewId="0">
      <selection activeCell="E13" sqref="E13"/>
    </sheetView>
  </sheetViews>
  <sheetFormatPr baseColWidth="10" defaultColWidth="9" defaultRowHeight="13"/>
  <cols>
    <col min="1" max="1" width="1.33203125" style="8" customWidth="1"/>
    <col min="2" max="2" width="11.83203125" style="32" customWidth="1"/>
    <col min="3" max="3" width="26.5" style="33" customWidth="1"/>
    <col min="4" max="4" width="17.1640625" style="33" customWidth="1"/>
    <col min="5" max="5" width="28.1640625" style="33" customWidth="1"/>
    <col min="6" max="6" width="30.6640625" style="33" customWidth="1"/>
    <col min="7" max="16384" width="9" style="8"/>
  </cols>
  <sheetData>
    <row r="1" spans="2:6" ht="25">
      <c r="B1" s="34"/>
      <c r="D1" s="35" t="s">
        <v>17</v>
      </c>
      <c r="E1" s="36"/>
    </row>
    <row r="2" spans="2:6" ht="13.5" customHeight="1">
      <c r="B2" s="34"/>
      <c r="D2" s="37"/>
      <c r="E2" s="37"/>
    </row>
    <row r="3" spans="2:6">
      <c r="B3" s="160" t="s">
        <v>1</v>
      </c>
      <c r="C3" s="160"/>
      <c r="D3" s="161" t="str">
        <f>Cover!C4</f>
        <v>&lt;Project Name&gt;</v>
      </c>
      <c r="E3" s="161"/>
      <c r="F3" s="161"/>
    </row>
    <row r="4" spans="2:6">
      <c r="B4" s="160" t="s">
        <v>4</v>
      </c>
      <c r="C4" s="160"/>
      <c r="D4" s="161" t="str">
        <f>Cover!C5</f>
        <v>&lt;Project Code&gt;</v>
      </c>
      <c r="E4" s="161"/>
      <c r="F4" s="161"/>
    </row>
    <row r="5" spans="2:6" s="38" customFormat="1" ht="84.75" customHeight="1">
      <c r="B5" s="158" t="s">
        <v>18</v>
      </c>
      <c r="C5" s="158"/>
      <c r="D5" s="159" t="s">
        <v>19</v>
      </c>
      <c r="E5" s="159"/>
      <c r="F5" s="159"/>
    </row>
    <row r="6" spans="2:6">
      <c r="B6" s="39"/>
      <c r="C6" s="8"/>
      <c r="D6" s="8"/>
      <c r="E6" s="8"/>
      <c r="F6" s="8"/>
    </row>
    <row r="7" spans="2:6" s="40" customFormat="1">
      <c r="B7" s="41"/>
      <c r="C7" s="42"/>
      <c r="D7" s="42"/>
      <c r="E7" s="42"/>
      <c r="F7" s="42"/>
    </row>
    <row r="8" spans="2:6" s="43" customFormat="1" ht="21" customHeight="1">
      <c r="B8" s="44" t="s">
        <v>20</v>
      </c>
      <c r="C8" s="45" t="s">
        <v>21</v>
      </c>
      <c r="D8" s="45" t="s">
        <v>22</v>
      </c>
      <c r="E8" s="46" t="s">
        <v>23</v>
      </c>
      <c r="F8" s="47" t="s">
        <v>24</v>
      </c>
    </row>
    <row r="9" spans="2:6">
      <c r="B9" s="48">
        <v>1</v>
      </c>
      <c r="C9" s="49" t="s">
        <v>83</v>
      </c>
      <c r="D9" s="50" t="s">
        <v>25</v>
      </c>
      <c r="E9" s="50"/>
      <c r="F9" s="51"/>
    </row>
    <row r="10" spans="2:6" ht="14">
      <c r="B10" s="48">
        <v>2</v>
      </c>
      <c r="C10" s="49" t="s">
        <v>84</v>
      </c>
      <c r="D10" s="126" t="s">
        <v>29</v>
      </c>
      <c r="E10" s="50"/>
      <c r="F10" s="51"/>
    </row>
    <row r="11" spans="2:6" ht="14">
      <c r="B11" s="48">
        <v>3</v>
      </c>
      <c r="C11" s="49" t="s">
        <v>85</v>
      </c>
      <c r="D11" s="127" t="s">
        <v>86</v>
      </c>
      <c r="E11" s="50"/>
      <c r="F11" s="51"/>
    </row>
    <row r="12" spans="2:6">
      <c r="B12" s="48"/>
      <c r="C12" s="49"/>
      <c r="D12" s="50"/>
      <c r="E12" s="50"/>
      <c r="F12" s="51"/>
    </row>
    <row r="13" spans="2:6">
      <c r="B13" s="48"/>
      <c r="C13" s="49"/>
      <c r="D13" s="50"/>
      <c r="E13" s="50"/>
      <c r="F13" s="51"/>
    </row>
    <row r="14" spans="2:6">
      <c r="B14" s="48"/>
      <c r="C14" s="49"/>
      <c r="D14" s="52"/>
      <c r="E14" s="52"/>
      <c r="F14" s="51"/>
    </row>
    <row r="15" spans="2:6">
      <c r="B15" s="48"/>
      <c r="C15" s="49"/>
      <c r="D15" s="52"/>
      <c r="E15" s="52"/>
      <c r="F15" s="51"/>
    </row>
    <row r="16" spans="2:6">
      <c r="B16" s="48"/>
      <c r="C16" s="49"/>
      <c r="D16" s="52"/>
      <c r="E16" s="52"/>
      <c r="F16" s="51"/>
    </row>
    <row r="17" spans="2:6">
      <c r="B17" s="48"/>
      <c r="C17" s="49"/>
      <c r="D17" s="52"/>
      <c r="E17" s="52"/>
      <c r="F17" s="51"/>
    </row>
    <row r="18" spans="2:6">
      <c r="B18" s="48"/>
      <c r="C18" s="49"/>
      <c r="D18" s="52"/>
      <c r="E18" s="52"/>
      <c r="F18" s="51"/>
    </row>
    <row r="19" spans="2:6">
      <c r="B19" s="48"/>
      <c r="C19" s="49"/>
      <c r="D19" s="52"/>
      <c r="E19" s="52"/>
      <c r="F19" s="51"/>
    </row>
    <row r="20" spans="2:6">
      <c r="B20" s="48"/>
      <c r="C20" s="49"/>
      <c r="D20" s="52"/>
      <c r="E20" s="52"/>
      <c r="F20" s="51"/>
    </row>
    <row r="21" spans="2:6">
      <c r="B21" s="53"/>
      <c r="C21" s="54"/>
      <c r="D21" s="55"/>
      <c r="E21" s="55"/>
      <c r="F21" s="56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1" location="Module3!B17" display="Module3" xr:uid="{759E4C47-A82E-C148-A178-12FF206E8AD5}"/>
    <hyperlink ref="D10" location="Module2!A1" display="Module2" xr:uid="{EFC3B2F0-9872-0B4D-9F85-37113E4168DE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J19"/>
  <sheetViews>
    <sheetView zoomScale="150" workbookViewId="0">
      <pane ySplit="8" topLeftCell="A14" activePane="bottomLeft" state="frozen"/>
      <selection pane="bottomLeft" activeCell="A9" sqref="A9:B12"/>
    </sheetView>
  </sheetViews>
  <sheetFormatPr baseColWidth="10" defaultColWidth="9" defaultRowHeight="13"/>
  <cols>
    <col min="1" max="1" width="14.33203125" style="8" customWidth="1"/>
    <col min="2" max="2" width="19.1640625" style="8" customWidth="1"/>
    <col min="3" max="3" width="32.1640625" style="8" customWidth="1"/>
    <col min="4" max="4" width="28.5" style="8" customWidth="1"/>
    <col min="5" max="5" width="15" style="8" customWidth="1"/>
    <col min="6" max="6" width="7.1640625" style="8" customWidth="1"/>
    <col min="7" max="7" width="14.83203125" style="8" customWidth="1"/>
    <col min="8" max="8" width="31.83203125" style="8" customWidth="1"/>
    <col min="9" max="9" width="8.1640625" style="57" customWidth="1"/>
    <col min="10" max="10" width="0" style="8" hidden="1" customWidth="1"/>
    <col min="11" max="16384" width="9" style="8"/>
  </cols>
  <sheetData>
    <row r="1" spans="1:10" s="63" customFormat="1">
      <c r="A1" s="58"/>
      <c r="B1" s="59"/>
      <c r="C1" s="59"/>
      <c r="D1" s="59"/>
      <c r="E1" s="59"/>
      <c r="F1" s="60"/>
      <c r="G1" s="61"/>
      <c r="H1" s="38"/>
      <c r="I1" s="62"/>
    </row>
    <row r="2" spans="1:10" s="63" customFormat="1" ht="15" customHeight="1">
      <c r="A2" s="64" t="s">
        <v>31</v>
      </c>
      <c r="B2" s="163" t="s">
        <v>32</v>
      </c>
      <c r="C2" s="163"/>
      <c r="D2" s="163"/>
      <c r="E2" s="163"/>
      <c r="F2" s="163"/>
      <c r="G2" s="38"/>
      <c r="H2" s="38"/>
      <c r="I2" s="62"/>
      <c r="J2" s="63" t="s">
        <v>33</v>
      </c>
    </row>
    <row r="3" spans="1:10" s="63" customFormat="1" ht="25.5" customHeight="1">
      <c r="A3" s="65" t="s">
        <v>34</v>
      </c>
      <c r="B3" s="163" t="s">
        <v>35</v>
      </c>
      <c r="C3" s="163"/>
      <c r="D3" s="163"/>
      <c r="E3" s="163"/>
      <c r="F3" s="163"/>
      <c r="G3" s="38"/>
      <c r="H3" s="38"/>
      <c r="I3" s="62"/>
      <c r="J3" s="63" t="s">
        <v>36</v>
      </c>
    </row>
    <row r="4" spans="1:10" s="63" customFormat="1" ht="18" customHeight="1">
      <c r="A4" s="64" t="s">
        <v>37</v>
      </c>
      <c r="B4" s="164"/>
      <c r="C4" s="164"/>
      <c r="D4" s="164"/>
      <c r="E4" s="164"/>
      <c r="F4" s="164"/>
      <c r="G4" s="38"/>
      <c r="H4" s="38"/>
      <c r="I4" s="62"/>
      <c r="J4" s="66"/>
    </row>
    <row r="5" spans="1:10" s="63" customFormat="1" ht="19.5" customHeight="1">
      <c r="A5" s="67" t="s">
        <v>33</v>
      </c>
      <c r="B5" s="68" t="s">
        <v>36</v>
      </c>
      <c r="C5" s="68" t="s">
        <v>38</v>
      </c>
      <c r="D5" s="69" t="s">
        <v>39</v>
      </c>
      <c r="E5" s="165" t="s">
        <v>40</v>
      </c>
      <c r="F5" s="165"/>
      <c r="G5" s="70"/>
      <c r="H5" s="70"/>
      <c r="I5" s="71"/>
      <c r="J5" s="63" t="s">
        <v>41</v>
      </c>
    </row>
    <row r="6" spans="1:10" s="63" customFormat="1" ht="15" customHeight="1">
      <c r="A6" s="72">
        <f>COUNTIF(F9:F997,"Pass")</f>
        <v>10</v>
      </c>
      <c r="B6" s="73">
        <f>COUNTIF(F9:F997,"Fail")</f>
        <v>0</v>
      </c>
      <c r="C6" s="73">
        <f>E6-D6-B6-A6</f>
        <v>0</v>
      </c>
      <c r="D6" s="74">
        <f>COUNTIF(F$9:F$997,"N/A")</f>
        <v>1</v>
      </c>
      <c r="E6" s="162">
        <v>11</v>
      </c>
      <c r="F6" s="162"/>
      <c r="G6" s="70"/>
      <c r="H6" s="70"/>
      <c r="I6" s="71"/>
      <c r="J6" s="63" t="s">
        <v>39</v>
      </c>
    </row>
    <row r="7" spans="1:10" s="63" customFormat="1" ht="15" customHeight="1">
      <c r="D7" s="75"/>
      <c r="E7" s="75"/>
      <c r="F7" s="70"/>
      <c r="G7" s="70"/>
      <c r="H7" s="70"/>
      <c r="I7" s="71"/>
    </row>
    <row r="8" spans="1:10" s="63" customFormat="1" ht="25.5" customHeight="1">
      <c r="A8" s="137" t="s">
        <v>42</v>
      </c>
      <c r="B8" s="137" t="s">
        <v>43</v>
      </c>
      <c r="C8" s="137" t="s">
        <v>44</v>
      </c>
      <c r="D8" s="137" t="s">
        <v>45</v>
      </c>
      <c r="E8" s="137" t="s">
        <v>87</v>
      </c>
      <c r="F8" s="137" t="s">
        <v>47</v>
      </c>
      <c r="G8" s="137" t="s">
        <v>70</v>
      </c>
      <c r="H8" s="137" t="s">
        <v>76</v>
      </c>
      <c r="I8" s="78"/>
    </row>
    <row r="9" spans="1:10" s="88" customFormat="1" ht="85.5" customHeight="1">
      <c r="A9" s="145" t="s">
        <v>90</v>
      </c>
      <c r="B9" s="131" t="s">
        <v>93</v>
      </c>
      <c r="C9" s="131" t="s">
        <v>94</v>
      </c>
      <c r="D9" s="133" t="s">
        <v>95</v>
      </c>
      <c r="E9" s="129" t="s">
        <v>88</v>
      </c>
      <c r="F9" s="130" t="s">
        <v>33</v>
      </c>
      <c r="G9" s="129" t="s">
        <v>132</v>
      </c>
      <c r="H9" s="129"/>
      <c r="I9" s="87"/>
    </row>
    <row r="10" spans="1:10" s="88" customFormat="1" ht="85.5" customHeight="1">
      <c r="A10" s="128" t="s">
        <v>96</v>
      </c>
      <c r="B10" s="131" t="s">
        <v>97</v>
      </c>
      <c r="C10" s="131" t="s">
        <v>98</v>
      </c>
      <c r="D10" s="132" t="s">
        <v>98</v>
      </c>
      <c r="E10" s="129" t="s">
        <v>89</v>
      </c>
      <c r="F10" s="130" t="s">
        <v>39</v>
      </c>
      <c r="G10" s="129" t="s">
        <v>132</v>
      </c>
      <c r="H10" s="138"/>
      <c r="I10" s="87"/>
    </row>
    <row r="11" spans="1:10" ht="60">
      <c r="A11" s="145" t="s">
        <v>99</v>
      </c>
      <c r="B11" s="131" t="s">
        <v>100</v>
      </c>
      <c r="C11" s="147" t="s">
        <v>101</v>
      </c>
      <c r="D11" s="131" t="s">
        <v>102</v>
      </c>
      <c r="E11" s="129" t="s">
        <v>155</v>
      </c>
      <c r="F11" s="146" t="s">
        <v>33</v>
      </c>
      <c r="G11" s="129" t="s">
        <v>132</v>
      </c>
      <c r="H11" s="139"/>
      <c r="I11" s="87"/>
    </row>
    <row r="12" spans="1:10" ht="56">
      <c r="A12" s="145" t="s">
        <v>103</v>
      </c>
      <c r="B12" s="133" t="s">
        <v>104</v>
      </c>
      <c r="C12" s="148" t="s">
        <v>105</v>
      </c>
      <c r="D12" s="134" t="s">
        <v>106</v>
      </c>
      <c r="E12" s="129" t="s">
        <v>156</v>
      </c>
      <c r="F12" s="146" t="s">
        <v>33</v>
      </c>
      <c r="G12" s="129" t="s">
        <v>132</v>
      </c>
      <c r="H12" s="139"/>
      <c r="I12" s="87"/>
    </row>
    <row r="13" spans="1:10" ht="45">
      <c r="A13" s="146" t="s">
        <v>107</v>
      </c>
      <c r="B13" s="133" t="s">
        <v>108</v>
      </c>
      <c r="C13" s="148" t="s">
        <v>109</v>
      </c>
      <c r="D13" s="131" t="s">
        <v>110</v>
      </c>
      <c r="E13" s="129" t="s">
        <v>157</v>
      </c>
      <c r="F13" s="146" t="s">
        <v>33</v>
      </c>
      <c r="G13" s="129" t="s">
        <v>132</v>
      </c>
      <c r="H13" s="139"/>
      <c r="I13" s="87"/>
    </row>
    <row r="14" spans="1:10" ht="42">
      <c r="A14" s="145" t="s">
        <v>112</v>
      </c>
      <c r="B14" s="140" t="s">
        <v>113</v>
      </c>
      <c r="C14" s="148" t="s">
        <v>114</v>
      </c>
      <c r="D14" s="148" t="s">
        <v>115</v>
      </c>
      <c r="E14" s="129" t="s">
        <v>158</v>
      </c>
      <c r="F14" s="146" t="s">
        <v>33</v>
      </c>
      <c r="G14" s="129" t="s">
        <v>132</v>
      </c>
      <c r="H14" s="141"/>
    </row>
    <row r="15" spans="1:10" s="136" customFormat="1" ht="47" customHeight="1">
      <c r="A15" s="144" t="s">
        <v>116</v>
      </c>
      <c r="B15" s="133" t="s">
        <v>117</v>
      </c>
      <c r="C15" s="142" t="s">
        <v>131</v>
      </c>
      <c r="D15" s="131" t="s">
        <v>118</v>
      </c>
      <c r="E15" s="129" t="s">
        <v>159</v>
      </c>
      <c r="F15" s="144" t="s">
        <v>33</v>
      </c>
      <c r="G15" s="129" t="s">
        <v>132</v>
      </c>
      <c r="H15" s="143"/>
      <c r="I15" s="135"/>
    </row>
    <row r="16" spans="1:10" s="136" customFormat="1" ht="47" customHeight="1">
      <c r="A16" s="145" t="s">
        <v>119</v>
      </c>
      <c r="B16" s="133" t="s">
        <v>120</v>
      </c>
      <c r="C16" s="131" t="s">
        <v>121</v>
      </c>
      <c r="D16" s="131" t="s">
        <v>122</v>
      </c>
      <c r="E16" s="129" t="s">
        <v>160</v>
      </c>
      <c r="F16" s="146" t="s">
        <v>33</v>
      </c>
      <c r="G16" s="129" t="s">
        <v>132</v>
      </c>
      <c r="H16" s="139"/>
      <c r="I16" s="135"/>
    </row>
    <row r="17" spans="1:9" ht="56">
      <c r="A17" s="145" t="s">
        <v>123</v>
      </c>
      <c r="B17" s="133" t="s">
        <v>91</v>
      </c>
      <c r="C17" s="149" t="s">
        <v>130</v>
      </c>
      <c r="D17" s="131" t="s">
        <v>92</v>
      </c>
      <c r="E17" s="129" t="s">
        <v>161</v>
      </c>
      <c r="F17" s="146" t="s">
        <v>33</v>
      </c>
      <c r="G17" s="129" t="s">
        <v>132</v>
      </c>
      <c r="H17" s="139"/>
      <c r="I17" s="87"/>
    </row>
    <row r="18" spans="1:9" ht="56">
      <c r="A18" s="145" t="s">
        <v>124</v>
      </c>
      <c r="B18" s="133" t="s">
        <v>125</v>
      </c>
      <c r="C18" s="149" t="s">
        <v>130</v>
      </c>
      <c r="D18" s="147" t="s">
        <v>126</v>
      </c>
      <c r="E18" s="129" t="s">
        <v>162</v>
      </c>
      <c r="F18" s="151" t="s">
        <v>33</v>
      </c>
      <c r="G18" s="129" t="s">
        <v>132</v>
      </c>
      <c r="H18" s="141"/>
    </row>
    <row r="19" spans="1:9" ht="56">
      <c r="A19" s="145" t="s">
        <v>127</v>
      </c>
      <c r="B19" s="133" t="s">
        <v>128</v>
      </c>
      <c r="C19" s="149" t="s">
        <v>130</v>
      </c>
      <c r="D19" s="150" t="s">
        <v>129</v>
      </c>
      <c r="E19" s="129" t="s">
        <v>163</v>
      </c>
      <c r="F19" s="151" t="s">
        <v>33</v>
      </c>
      <c r="G19" s="129" t="s">
        <v>132</v>
      </c>
      <c r="H19" s="141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0926D9D0-1AE7-204E-AFDC-71D73AD07237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1:G12"/>
  <sheetViews>
    <sheetView workbookViewId="0">
      <selection activeCell="B9" sqref="B9"/>
    </sheetView>
  </sheetViews>
  <sheetFormatPr baseColWidth="10" defaultRowHeight="14"/>
  <cols>
    <col min="1" max="1" width="22.83203125" customWidth="1"/>
    <col min="2" max="2" width="23.83203125" customWidth="1"/>
    <col min="3" max="3" width="17.6640625" customWidth="1"/>
    <col min="4" max="4" width="15.83203125" customWidth="1"/>
    <col min="5" max="5" width="33.5" customWidth="1"/>
    <col min="6" max="6" width="28.5" customWidth="1"/>
    <col min="7" max="7" width="33.83203125" customWidth="1"/>
  </cols>
  <sheetData>
    <row r="1" spans="1:7" ht="20">
      <c r="A1" s="152" t="s">
        <v>133</v>
      </c>
      <c r="B1" s="152" t="s">
        <v>134</v>
      </c>
      <c r="C1" s="152" t="s">
        <v>135</v>
      </c>
      <c r="D1" s="152" t="s">
        <v>136</v>
      </c>
      <c r="E1" s="152" t="s">
        <v>137</v>
      </c>
      <c r="F1" s="152" t="s">
        <v>138</v>
      </c>
      <c r="G1" s="152" t="s">
        <v>49</v>
      </c>
    </row>
    <row r="2" spans="1:7" ht="20">
      <c r="A2" s="153" t="s">
        <v>88</v>
      </c>
      <c r="B2" s="153" t="s">
        <v>139</v>
      </c>
      <c r="C2" s="153" t="s">
        <v>140</v>
      </c>
      <c r="D2" s="153" t="s">
        <v>141</v>
      </c>
      <c r="E2" s="153" t="s">
        <v>142</v>
      </c>
      <c r="F2" s="153" t="s">
        <v>143</v>
      </c>
      <c r="G2" s="153" t="s">
        <v>144</v>
      </c>
    </row>
    <row r="3" spans="1:7" ht="20">
      <c r="A3" s="153" t="s">
        <v>89</v>
      </c>
      <c r="B3" s="153" t="s">
        <v>145</v>
      </c>
      <c r="C3" s="153" t="s">
        <v>146</v>
      </c>
      <c r="D3" s="153" t="s">
        <v>147</v>
      </c>
      <c r="E3" s="153" t="s">
        <v>148</v>
      </c>
      <c r="F3" s="153" t="s">
        <v>143</v>
      </c>
      <c r="G3" s="153" t="s">
        <v>149</v>
      </c>
    </row>
    <row r="4" spans="1:7" ht="20">
      <c r="A4" s="153" t="s">
        <v>155</v>
      </c>
      <c r="B4" s="153" t="s">
        <v>150</v>
      </c>
      <c r="C4" s="153" t="s">
        <v>151</v>
      </c>
      <c r="D4" s="153" t="s">
        <v>141</v>
      </c>
      <c r="E4" s="153" t="s">
        <v>152</v>
      </c>
      <c r="F4" s="153" t="s">
        <v>143</v>
      </c>
      <c r="G4" s="153" t="s">
        <v>153</v>
      </c>
    </row>
    <row r="5" spans="1:7" ht="20">
      <c r="A5" s="153" t="s">
        <v>156</v>
      </c>
      <c r="B5" s="153" t="s">
        <v>154</v>
      </c>
      <c r="C5" s="153" t="s">
        <v>151</v>
      </c>
      <c r="D5" s="153" t="s">
        <v>39</v>
      </c>
      <c r="E5" s="153" t="s">
        <v>39</v>
      </c>
      <c r="F5" s="153" t="s">
        <v>39</v>
      </c>
      <c r="G5" s="153" t="s">
        <v>111</v>
      </c>
    </row>
    <row r="6" spans="1:7" ht="20">
      <c r="A6" s="153" t="s">
        <v>157</v>
      </c>
    </row>
    <row r="7" spans="1:7" ht="20">
      <c r="A7" s="153" t="s">
        <v>158</v>
      </c>
    </row>
    <row r="8" spans="1:7" ht="20">
      <c r="A8" s="153" t="s">
        <v>159</v>
      </c>
    </row>
    <row r="9" spans="1:7" ht="20">
      <c r="A9" s="153" t="s">
        <v>160</v>
      </c>
    </row>
    <row r="10" spans="1:7" ht="20">
      <c r="A10" s="153" t="s">
        <v>161</v>
      </c>
    </row>
    <row r="11" spans="1:7" ht="20">
      <c r="A11" s="153" t="s">
        <v>162</v>
      </c>
    </row>
    <row r="12" spans="1:7" ht="20">
      <c r="A12" s="153" t="s">
        <v>163</v>
      </c>
    </row>
  </sheetData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1288-1135-FA43-BA31-A098B66B5034}">
  <dimension ref="A1:K17"/>
  <sheetViews>
    <sheetView workbookViewId="0">
      <pane ySplit="8" topLeftCell="A9" activePane="bottomLeft" state="frozen"/>
      <selection pane="bottomLeft" activeCell="F15" sqref="F15"/>
    </sheetView>
  </sheetViews>
  <sheetFormatPr baseColWidth="10" defaultColWidth="9" defaultRowHeight="13"/>
  <cols>
    <col min="1" max="1" width="11.5" style="8" customWidth="1"/>
    <col min="2" max="2" width="19.1640625" style="8" customWidth="1"/>
    <col min="3" max="3" width="25.6640625" style="8" customWidth="1"/>
    <col min="4" max="4" width="30.1640625" style="8" customWidth="1"/>
    <col min="5" max="5" width="16.83203125" style="8" customWidth="1"/>
    <col min="6" max="6" width="7.1640625" style="8" customWidth="1"/>
    <col min="7" max="7" width="9" style="8"/>
    <col min="8" max="8" width="17.6640625" style="8" customWidth="1"/>
    <col min="9" max="9" width="8.1640625" style="57" customWidth="1"/>
    <col min="10" max="10" width="0" style="8" hidden="1" customWidth="1"/>
    <col min="11" max="16384" width="9" style="8"/>
  </cols>
  <sheetData>
    <row r="1" spans="1:11" s="63" customFormat="1">
      <c r="A1" s="58"/>
      <c r="B1" s="59"/>
      <c r="C1" s="59"/>
      <c r="D1" s="59"/>
      <c r="E1" s="59"/>
      <c r="F1" s="60"/>
      <c r="G1" s="61"/>
      <c r="H1" s="38"/>
      <c r="I1" s="62"/>
    </row>
    <row r="2" spans="1:11" s="63" customFormat="1" ht="15" customHeight="1">
      <c r="A2" s="64" t="s">
        <v>31</v>
      </c>
      <c r="B2" s="163" t="s">
        <v>29</v>
      </c>
      <c r="C2" s="163"/>
      <c r="D2" s="163"/>
      <c r="E2" s="163"/>
      <c r="F2" s="163"/>
      <c r="G2" s="38"/>
      <c r="H2" s="38"/>
      <c r="I2" s="62"/>
      <c r="J2" s="63" t="s">
        <v>33</v>
      </c>
    </row>
    <row r="3" spans="1:11" s="63" customFormat="1" ht="25.5" customHeight="1">
      <c r="A3" s="65" t="s">
        <v>34</v>
      </c>
      <c r="B3" s="163" t="s">
        <v>35</v>
      </c>
      <c r="C3" s="163"/>
      <c r="D3" s="163"/>
      <c r="E3" s="163"/>
      <c r="F3" s="163"/>
      <c r="G3" s="38"/>
      <c r="H3" s="38"/>
      <c r="I3" s="62"/>
      <c r="J3" s="63" t="s">
        <v>36</v>
      </c>
    </row>
    <row r="4" spans="1:11" s="63" customFormat="1" ht="18" customHeight="1">
      <c r="A4" s="64" t="s">
        <v>37</v>
      </c>
      <c r="B4" s="164"/>
      <c r="C4" s="164"/>
      <c r="D4" s="164"/>
      <c r="E4" s="164"/>
      <c r="F4" s="164"/>
      <c r="G4" s="38"/>
      <c r="H4" s="38"/>
      <c r="I4" s="62"/>
      <c r="J4" s="66"/>
    </row>
    <row r="5" spans="1:11" s="63" customFormat="1" ht="19.5" customHeight="1">
      <c r="A5" s="67" t="s">
        <v>33</v>
      </c>
      <c r="B5" s="68" t="s">
        <v>36</v>
      </c>
      <c r="C5" s="68" t="s">
        <v>38</v>
      </c>
      <c r="D5" s="69" t="s">
        <v>39</v>
      </c>
      <c r="E5" s="165" t="s">
        <v>40</v>
      </c>
      <c r="F5" s="165"/>
      <c r="G5" s="70"/>
      <c r="H5" s="70"/>
      <c r="I5" s="71"/>
      <c r="J5" s="63" t="s">
        <v>41</v>
      </c>
    </row>
    <row r="6" spans="1:11" s="63" customFormat="1" ht="15" customHeight="1">
      <c r="A6" s="91">
        <f>COUNTIF(F10:F998,"Pass")</f>
        <v>5</v>
      </c>
      <c r="B6" s="73">
        <f>COUNTIF(F10:F998,"Fail")</f>
        <v>0</v>
      </c>
      <c r="C6" s="73">
        <f>E6-D6-B6-A6</f>
        <v>0</v>
      </c>
      <c r="D6" s="74">
        <f>COUNTIF(F$10:F$998,"N/A")</f>
        <v>0</v>
      </c>
      <c r="E6" s="162">
        <f>COUNTA(A10:A998)</f>
        <v>5</v>
      </c>
      <c r="F6" s="162"/>
      <c r="G6" s="70"/>
      <c r="H6" s="70"/>
      <c r="I6" s="71"/>
      <c r="J6" s="63" t="s">
        <v>39</v>
      </c>
    </row>
    <row r="7" spans="1:11" s="63" customFormat="1" ht="15" customHeight="1">
      <c r="D7" s="75"/>
      <c r="E7" s="75"/>
      <c r="F7" s="75"/>
      <c r="G7" s="75"/>
      <c r="H7" s="75"/>
      <c r="I7" s="71"/>
    </row>
    <row r="8" spans="1:11" s="63" customFormat="1" ht="25.5" customHeight="1">
      <c r="A8" s="76" t="s">
        <v>42</v>
      </c>
      <c r="B8" s="76" t="s">
        <v>43</v>
      </c>
      <c r="C8" s="76" t="s">
        <v>44</v>
      </c>
      <c r="D8" s="76" t="s">
        <v>45</v>
      </c>
      <c r="E8" s="77" t="s">
        <v>46</v>
      </c>
      <c r="F8" s="77" t="s">
        <v>47</v>
      </c>
      <c r="G8" s="77" t="s">
        <v>48</v>
      </c>
      <c r="H8" s="76" t="s">
        <v>49</v>
      </c>
      <c r="I8" s="78"/>
    </row>
    <row r="9" spans="1:11" s="63" customFormat="1" ht="15.75" customHeight="1">
      <c r="A9" s="79"/>
      <c r="B9" s="79" t="s">
        <v>28</v>
      </c>
      <c r="C9" s="80"/>
      <c r="D9" s="80"/>
      <c r="E9" s="80"/>
      <c r="F9" s="80"/>
      <c r="G9" s="80"/>
      <c r="H9" s="81"/>
      <c r="I9" s="82"/>
    </row>
    <row r="10" spans="1:11" s="88" customFormat="1" ht="121" customHeight="1">
      <c r="A10" s="83" t="str">
        <f>IF(OR(B10&lt;&gt;"",D10&lt;&gt;""),"["&amp;TEXT($B$2,"##")&amp;"-"&amp;TEXT(ROW()-10,"##")&amp;"]","")</f>
        <v>[Module2-]</v>
      </c>
      <c r="B10" s="84" t="s">
        <v>55</v>
      </c>
      <c r="C10" s="84" t="s">
        <v>56</v>
      </c>
      <c r="D10" s="85" t="s">
        <v>57</v>
      </c>
      <c r="E10" s="85" t="s">
        <v>58</v>
      </c>
      <c r="F10" s="83" t="s">
        <v>33</v>
      </c>
      <c r="G10" s="83"/>
      <c r="H10" s="92"/>
      <c r="I10" s="87"/>
    </row>
    <row r="11" spans="1:11" ht="14">
      <c r="A11" s="83" t="str">
        <f>IF(OR(B11&lt;&gt;"",D11&lt;&gt;""),"["&amp;TEXT($B$2,"##")&amp;"-"&amp;TEXT(ROW()-10,"##")&amp;"]","")</f>
        <v>[Module2-1]</v>
      </c>
      <c r="B11" s="83" t="s">
        <v>50</v>
      </c>
      <c r="C11" s="83"/>
      <c r="D11" s="89"/>
      <c r="E11" s="89"/>
      <c r="F11" s="83" t="s">
        <v>33</v>
      </c>
      <c r="G11" s="83"/>
      <c r="H11" s="92"/>
      <c r="I11" s="87"/>
    </row>
    <row r="12" spans="1:11" ht="14">
      <c r="A12" s="83" t="str">
        <f>IF(OR(B12&lt;&gt;"",D12&lt;&gt;""),"["&amp;TEXT($B$2,"##")&amp;"-"&amp;TEXT(ROW()-10,"##")&amp;"]","")</f>
        <v>[Module2-2]</v>
      </c>
      <c r="B12" s="83" t="s">
        <v>51</v>
      </c>
      <c r="C12" s="83"/>
      <c r="D12" s="89"/>
      <c r="E12" s="89"/>
      <c r="F12" s="83" t="s">
        <v>33</v>
      </c>
      <c r="G12" s="83"/>
      <c r="H12" s="92"/>
      <c r="I12" s="87"/>
    </row>
    <row r="13" spans="1:11" s="63" customFormat="1" ht="15.75" customHeight="1">
      <c r="A13" s="79"/>
      <c r="B13" s="79" t="s">
        <v>30</v>
      </c>
      <c r="C13" s="80"/>
      <c r="D13" s="80"/>
      <c r="E13" s="80"/>
      <c r="F13" s="80"/>
      <c r="G13" s="80"/>
      <c r="H13" s="81"/>
      <c r="I13" s="82"/>
    </row>
    <row r="14" spans="1:11" ht="14">
      <c r="A14" s="83" t="str">
        <f>IF(OR(B14&lt;&gt;"",D14&lt;&gt;""),"["&amp;TEXT($B$2,"##")&amp;"-"&amp;TEXT(ROW()-11,"##")&amp;"]","")</f>
        <v>[Module2-3]</v>
      </c>
      <c r="B14" s="83" t="s">
        <v>52</v>
      </c>
      <c r="C14" s="83"/>
      <c r="D14" s="83"/>
      <c r="E14" s="83"/>
      <c r="F14" s="83" t="s">
        <v>33</v>
      </c>
      <c r="G14" s="83"/>
      <c r="H14" s="92"/>
      <c r="I14" s="87"/>
    </row>
    <row r="15" spans="1:11" ht="14">
      <c r="A15" s="83" t="str">
        <f>IF(OR(B15&lt;&gt;"",D15&lt;&gt;""),"["&amp;TEXT($B$2,"##")&amp;"-"&amp;TEXT(ROW()-11,"##")&amp;"]","")</f>
        <v>[Module2-4]</v>
      </c>
      <c r="B15" s="83" t="s">
        <v>53</v>
      </c>
      <c r="C15" s="83"/>
      <c r="D15" s="83"/>
      <c r="E15" s="83"/>
      <c r="F15" s="90" t="s">
        <v>33</v>
      </c>
      <c r="G15" s="90"/>
      <c r="H15" s="90"/>
    </row>
    <row r="16" spans="1:11">
      <c r="F16" s="93"/>
      <c r="I16" s="82"/>
      <c r="J16" s="63"/>
      <c r="K16" s="63"/>
    </row>
    <row r="17" spans="6:9">
      <c r="F17" s="94"/>
      <c r="I17" s="87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244364E1-8292-B946-885E-05FD1E349DEA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3EDBE-B62B-A64E-ADB6-983CCDC8C430}">
  <dimension ref="A1:J17"/>
  <sheetViews>
    <sheetView workbookViewId="0">
      <pane ySplit="8" topLeftCell="A9" activePane="bottomLeft" state="frozen"/>
      <selection pane="bottomLeft" activeCell="E35" sqref="E35"/>
    </sheetView>
  </sheetViews>
  <sheetFormatPr baseColWidth="10" defaultColWidth="9" defaultRowHeight="13"/>
  <cols>
    <col min="1" max="1" width="11.83203125" style="8" customWidth="1"/>
    <col min="2" max="2" width="19.1640625" style="8" customWidth="1"/>
    <col min="3" max="3" width="32.1640625" style="8" customWidth="1"/>
    <col min="4" max="4" width="28.5" style="8" customWidth="1"/>
    <col min="5" max="5" width="15" style="8" customWidth="1"/>
    <col min="6" max="6" width="7.1640625" style="8" customWidth="1"/>
    <col min="7" max="7" width="11.83203125" style="8" customWidth="1"/>
    <col min="8" max="8" width="31.83203125" style="8" customWidth="1"/>
    <col min="9" max="9" width="8.1640625" style="57" customWidth="1"/>
    <col min="10" max="10" width="0" style="8" hidden="1" customWidth="1"/>
    <col min="11" max="16384" width="9" style="8"/>
  </cols>
  <sheetData>
    <row r="1" spans="1:10" s="63" customFormat="1" ht="14" thickBot="1">
      <c r="A1" s="58"/>
      <c r="B1" s="59"/>
      <c r="C1" s="59"/>
      <c r="D1" s="59"/>
      <c r="E1" s="59"/>
      <c r="F1" s="60"/>
      <c r="G1" s="61"/>
      <c r="H1" s="38"/>
      <c r="I1" s="62"/>
    </row>
    <row r="2" spans="1:10" s="63" customFormat="1" ht="15" customHeight="1">
      <c r="A2" s="64" t="s">
        <v>31</v>
      </c>
      <c r="B2" s="163" t="s">
        <v>32</v>
      </c>
      <c r="C2" s="163"/>
      <c r="D2" s="163"/>
      <c r="E2" s="163"/>
      <c r="F2" s="163"/>
      <c r="G2" s="38"/>
      <c r="H2" s="38"/>
      <c r="I2" s="62"/>
      <c r="J2" s="63" t="s">
        <v>33</v>
      </c>
    </row>
    <row r="3" spans="1:10" s="63" customFormat="1" ht="25.5" customHeight="1">
      <c r="A3" s="65" t="s">
        <v>34</v>
      </c>
      <c r="B3" s="163" t="s">
        <v>35</v>
      </c>
      <c r="C3" s="163"/>
      <c r="D3" s="163"/>
      <c r="E3" s="163"/>
      <c r="F3" s="163"/>
      <c r="G3" s="38"/>
      <c r="H3" s="38"/>
      <c r="I3" s="62"/>
      <c r="J3" s="63" t="s">
        <v>36</v>
      </c>
    </row>
    <row r="4" spans="1:10" s="63" customFormat="1" ht="18" customHeight="1">
      <c r="A4" s="64" t="s">
        <v>37</v>
      </c>
      <c r="B4" s="164"/>
      <c r="C4" s="164"/>
      <c r="D4" s="164"/>
      <c r="E4" s="164"/>
      <c r="F4" s="164"/>
      <c r="G4" s="38"/>
      <c r="H4" s="38"/>
      <c r="I4" s="62"/>
      <c r="J4" s="66"/>
    </row>
    <row r="5" spans="1:10" s="63" customFormat="1" ht="19.5" customHeight="1">
      <c r="A5" s="67" t="s">
        <v>33</v>
      </c>
      <c r="B5" s="68" t="s">
        <v>36</v>
      </c>
      <c r="C5" s="68" t="s">
        <v>38</v>
      </c>
      <c r="D5" s="69" t="s">
        <v>39</v>
      </c>
      <c r="E5" s="165" t="s">
        <v>40</v>
      </c>
      <c r="F5" s="165"/>
      <c r="G5" s="70"/>
      <c r="H5" s="70"/>
      <c r="I5" s="71"/>
      <c r="J5" s="63" t="s">
        <v>41</v>
      </c>
    </row>
    <row r="6" spans="1:10" s="63" customFormat="1" ht="15" customHeight="1" thickBot="1">
      <c r="A6" s="72">
        <f>COUNTIF(F9:F998,"Pass")</f>
        <v>0</v>
      </c>
      <c r="B6" s="73">
        <f>COUNTIF(F9:F998,"Fail")</f>
        <v>0</v>
      </c>
      <c r="C6" s="73">
        <f>E6-D6-B6-A6</f>
        <v>7</v>
      </c>
      <c r="D6" s="74">
        <f>COUNTIF(F$9:F$998,"N/A")</f>
        <v>0</v>
      </c>
      <c r="E6" s="162">
        <f>COUNTA(A9:A998)</f>
        <v>7</v>
      </c>
      <c r="F6" s="162"/>
      <c r="G6" s="70"/>
      <c r="H6" s="70"/>
      <c r="I6" s="71"/>
      <c r="J6" s="63" t="s">
        <v>39</v>
      </c>
    </row>
    <row r="7" spans="1:10" s="63" customFormat="1" ht="15" customHeight="1">
      <c r="D7" s="75"/>
      <c r="E7" s="75"/>
      <c r="F7" s="70"/>
      <c r="G7" s="70"/>
      <c r="H7" s="70"/>
      <c r="I7" s="71"/>
    </row>
    <row r="8" spans="1:10" s="63" customFormat="1" ht="25.5" customHeight="1">
      <c r="A8" s="76" t="s">
        <v>42</v>
      </c>
      <c r="B8" s="76" t="s">
        <v>43</v>
      </c>
      <c r="C8" s="76" t="s">
        <v>44</v>
      </c>
      <c r="D8" s="76" t="s">
        <v>45</v>
      </c>
      <c r="E8" s="77" t="s">
        <v>70</v>
      </c>
      <c r="F8" s="77" t="s">
        <v>47</v>
      </c>
      <c r="G8" s="77" t="s">
        <v>70</v>
      </c>
      <c r="H8" s="76" t="s">
        <v>76</v>
      </c>
      <c r="I8" s="78"/>
    </row>
    <row r="9" spans="1:10" s="88" customFormat="1" ht="85.5" customHeight="1">
      <c r="A9" s="123" t="s">
        <v>71</v>
      </c>
      <c r="B9" s="123" t="s">
        <v>79</v>
      </c>
      <c r="C9" s="123" t="s">
        <v>72</v>
      </c>
      <c r="D9" s="124" t="s">
        <v>81</v>
      </c>
      <c r="E9" s="124" t="s">
        <v>73</v>
      </c>
      <c r="F9" s="123"/>
      <c r="G9" s="124" t="s">
        <v>73</v>
      </c>
      <c r="H9" s="125" t="s">
        <v>77</v>
      </c>
      <c r="I9" s="87"/>
    </row>
    <row r="10" spans="1:10" s="88" customFormat="1" ht="85.5" customHeight="1">
      <c r="A10" s="123" t="s">
        <v>71</v>
      </c>
      <c r="B10" s="123" t="s">
        <v>80</v>
      </c>
      <c r="C10" s="123" t="s">
        <v>75</v>
      </c>
      <c r="D10" s="124" t="s">
        <v>82</v>
      </c>
      <c r="E10" s="124" t="s">
        <v>74</v>
      </c>
      <c r="F10" s="123"/>
      <c r="G10" s="124" t="s">
        <v>74</v>
      </c>
      <c r="H10" s="125" t="s">
        <v>78</v>
      </c>
      <c r="I10" s="87"/>
    </row>
    <row r="11" spans="1:10" ht="14">
      <c r="A11" s="83" t="str">
        <f>IF(OR(B11&lt;&gt;"",D11&lt;&gt;""),"["&amp;TEXT($B$2,"##")&amp;"-"&amp;TEXT(ROW()-10,"##")&amp;"]","")</f>
        <v>[Module1 -1]</v>
      </c>
      <c r="B11" s="83" t="s">
        <v>50</v>
      </c>
      <c r="C11" s="83"/>
      <c r="D11" s="89"/>
      <c r="E11" s="89"/>
      <c r="F11" s="83"/>
      <c r="G11" s="83"/>
      <c r="H11" s="86"/>
      <c r="I11" s="87"/>
    </row>
    <row r="12" spans="1:10" ht="14">
      <c r="A12" s="83" t="str">
        <f>IF(OR(B12&lt;&gt;"",D12&lt;&gt;""),"["&amp;TEXT($B$2,"##")&amp;"-"&amp;TEXT(ROW()-10,"##")&amp;"]","")</f>
        <v>[Module1 -2]</v>
      </c>
      <c r="B12" s="83" t="s">
        <v>51</v>
      </c>
      <c r="C12" s="83"/>
      <c r="D12" s="89"/>
      <c r="E12" s="89"/>
      <c r="F12" s="83"/>
      <c r="G12" s="83"/>
      <c r="H12" s="86"/>
      <c r="I12" s="87"/>
    </row>
    <row r="13" spans="1:10" s="63" customFormat="1" ht="15.75" customHeight="1">
      <c r="A13" s="80"/>
      <c r="B13" s="79" t="s">
        <v>26</v>
      </c>
      <c r="C13" s="80"/>
      <c r="D13" s="80"/>
      <c r="E13" s="80"/>
      <c r="F13" s="80"/>
      <c r="G13" s="80"/>
      <c r="H13" s="81"/>
      <c r="I13" s="82"/>
    </row>
    <row r="14" spans="1:10" ht="14">
      <c r="A14" s="83" t="str">
        <f>IF(OR(B14&lt;&gt;"",D14&lt;&gt;""),"["&amp;TEXT($B$2,"##")&amp;"-"&amp;TEXT(ROW()-11,"##")&amp;"]","")</f>
        <v>[Module1 -3]</v>
      </c>
      <c r="B14" s="83" t="s">
        <v>52</v>
      </c>
      <c r="C14" s="83"/>
      <c r="D14" s="83"/>
      <c r="E14" s="83"/>
      <c r="F14" s="83"/>
      <c r="G14" s="83"/>
      <c r="H14" s="86"/>
      <c r="I14" s="87"/>
    </row>
    <row r="15" spans="1:10" ht="14">
      <c r="A15" s="83" t="str">
        <f>IF(OR(B15&lt;&gt;"",D15&lt;&gt;""),"["&amp;TEXT($B$2,"##")&amp;"-"&amp;TEXT(ROW()-11,"##")&amp;"]","")</f>
        <v>[Module1 -4]</v>
      </c>
      <c r="B15" s="83" t="s">
        <v>53</v>
      </c>
      <c r="C15" s="83"/>
      <c r="D15" s="83"/>
      <c r="E15" s="83"/>
      <c r="F15" s="83"/>
      <c r="G15" s="90"/>
      <c r="H15" s="90"/>
    </row>
    <row r="16" spans="1:10" s="63" customFormat="1" ht="15.75" customHeight="1">
      <c r="A16" s="79"/>
      <c r="B16" s="79" t="s">
        <v>27</v>
      </c>
      <c r="C16" s="80"/>
      <c r="D16" s="80"/>
      <c r="E16" s="80"/>
      <c r="F16" s="80"/>
      <c r="G16" s="80"/>
      <c r="H16" s="81"/>
      <c r="I16" s="82"/>
    </row>
    <row r="17" spans="1:9" ht="14">
      <c r="A17" s="83" t="str">
        <f>IF(OR(B17&lt;&gt;"",D17&lt;&gt;""),"["&amp;TEXT($B$2,"##")&amp;"-"&amp;TEXT(ROW()-12,"##")&amp;"]","")</f>
        <v>[Module1 -5]</v>
      </c>
      <c r="B17" s="83" t="s">
        <v>54</v>
      </c>
      <c r="C17" s="83"/>
      <c r="D17" s="83"/>
      <c r="E17" s="83"/>
      <c r="F17" s="83"/>
      <c r="G17" s="83"/>
      <c r="H17" s="86"/>
      <c r="I17" s="87"/>
    </row>
  </sheetData>
  <mergeCells count="5">
    <mergeCell ref="B2:F2"/>
    <mergeCell ref="B3:F3"/>
    <mergeCell ref="B4:F4"/>
    <mergeCell ref="E5:F5"/>
    <mergeCell ref="E6:F6"/>
  </mergeCells>
  <dataValidations count="1">
    <dataValidation type="list" allowBlank="1" showErrorMessage="1" sqref="F1:F3 F7:F145" xr:uid="{FF2EA11B-1EE0-EC40-9391-63EEB3CA1301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7"/>
  <sheetViews>
    <sheetView workbookViewId="0">
      <selection activeCell="B10" sqref="B10:H14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168" t="s">
        <v>59</v>
      </c>
      <c r="C1" s="168"/>
      <c r="D1" s="168"/>
      <c r="E1" s="168"/>
      <c r="F1" s="168"/>
      <c r="G1" s="168"/>
      <c r="H1" s="168"/>
    </row>
    <row r="2" spans="1:8" ht="14.25" customHeight="1">
      <c r="A2" s="95"/>
      <c r="B2" s="95"/>
      <c r="C2" s="96"/>
      <c r="D2" s="96"/>
      <c r="E2" s="96"/>
      <c r="F2" s="96"/>
      <c r="G2" s="96"/>
      <c r="H2" s="97"/>
    </row>
    <row r="3" spans="1:8" ht="12" customHeight="1">
      <c r="B3" s="11" t="s">
        <v>1</v>
      </c>
      <c r="C3" s="161" t="s">
        <v>2</v>
      </c>
      <c r="D3" s="161"/>
      <c r="E3" s="166" t="s">
        <v>3</v>
      </c>
      <c r="F3" s="166"/>
      <c r="G3" s="98"/>
      <c r="H3" s="99"/>
    </row>
    <row r="4" spans="1:8" ht="12" customHeight="1">
      <c r="B4" s="11" t="s">
        <v>4</v>
      </c>
      <c r="C4" s="161" t="s">
        <v>5</v>
      </c>
      <c r="D4" s="161"/>
      <c r="E4" s="166" t="s">
        <v>6</v>
      </c>
      <c r="F4" s="166"/>
      <c r="G4" s="98"/>
      <c r="H4" s="99"/>
    </row>
    <row r="5" spans="1:8" ht="12" customHeight="1">
      <c r="B5" s="100" t="s">
        <v>7</v>
      </c>
      <c r="C5" s="161" t="str">
        <f>C4&amp;"_"&amp;"Test Report"&amp;"_"&amp;"vx.x"</f>
        <v>&lt;Project Code&gt;_Test Report_vx.x</v>
      </c>
      <c r="D5" s="161"/>
      <c r="E5" s="166" t="s">
        <v>8</v>
      </c>
      <c r="F5" s="166"/>
      <c r="G5" s="98"/>
      <c r="H5" s="101" t="s">
        <v>60</v>
      </c>
    </row>
    <row r="6" spans="1:8" ht="21.75" customHeight="1">
      <c r="A6" s="95"/>
      <c r="B6" s="100" t="s">
        <v>61</v>
      </c>
      <c r="C6" s="167" t="s">
        <v>62</v>
      </c>
      <c r="D6" s="167"/>
      <c r="E6" s="167"/>
      <c r="F6" s="167"/>
      <c r="G6" s="167"/>
      <c r="H6" s="167"/>
    </row>
    <row r="7" spans="1:8" ht="14.25" customHeight="1">
      <c r="A7" s="95"/>
      <c r="B7" s="13"/>
      <c r="C7" s="102"/>
      <c r="D7" s="96"/>
      <c r="E7" s="96"/>
      <c r="F7" s="96"/>
      <c r="G7" s="96"/>
      <c r="H7" s="97"/>
    </row>
    <row r="8" spans="1:8">
      <c r="B8" s="13"/>
      <c r="C8" s="102"/>
      <c r="D8" s="96"/>
      <c r="E8" s="96"/>
      <c r="F8" s="96"/>
      <c r="G8" s="96"/>
      <c r="H8" s="97"/>
    </row>
    <row r="10" spans="1:8" ht="14">
      <c r="A10" s="103"/>
      <c r="B10" s="104" t="s">
        <v>20</v>
      </c>
      <c r="C10" s="105" t="s">
        <v>63</v>
      </c>
      <c r="D10" s="106" t="s">
        <v>33</v>
      </c>
      <c r="E10" s="105" t="s">
        <v>36</v>
      </c>
      <c r="F10" s="105" t="s">
        <v>38</v>
      </c>
      <c r="G10" s="107" t="s">
        <v>39</v>
      </c>
      <c r="H10" s="108" t="s">
        <v>64</v>
      </c>
    </row>
    <row r="11" spans="1:8">
      <c r="A11" s="103"/>
      <c r="B11" s="109">
        <v>1</v>
      </c>
      <c r="C11" s="110" t="str">
        <f>Module1!B2</f>
        <v xml:space="preserve">Module1 </v>
      </c>
      <c r="D11" s="111">
        <f>Module1!A6</f>
        <v>10</v>
      </c>
      <c r="E11" s="111">
        <f>Module1!B6</f>
        <v>0</v>
      </c>
      <c r="F11" s="111">
        <f>Module1!C6</f>
        <v>0</v>
      </c>
      <c r="G11" s="112">
        <f>Module1!D6</f>
        <v>1</v>
      </c>
      <c r="H11" s="113">
        <f>Module1!E6</f>
        <v>11</v>
      </c>
    </row>
    <row r="12" spans="1:8">
      <c r="A12" s="103"/>
      <c r="B12" s="109">
        <v>2</v>
      </c>
      <c r="C12" s="110" t="str">
        <f>Module2!B2</f>
        <v>Module2</v>
      </c>
      <c r="D12" s="111">
        <f>Module2!A6</f>
        <v>5</v>
      </c>
      <c r="E12" s="111">
        <f>Module2!B6</f>
        <v>0</v>
      </c>
      <c r="F12" s="111">
        <f>Module2!C6</f>
        <v>0</v>
      </c>
      <c r="G12" s="112">
        <f>Module2!D6</f>
        <v>0</v>
      </c>
      <c r="H12" s="113">
        <f>Module2!E6</f>
        <v>5</v>
      </c>
    </row>
    <row r="13" spans="1:8">
      <c r="A13" s="103"/>
      <c r="B13" s="109"/>
      <c r="C13" s="110"/>
      <c r="D13" s="111"/>
      <c r="E13" s="111"/>
      <c r="F13" s="111"/>
      <c r="G13" s="112"/>
      <c r="H13" s="113"/>
    </row>
    <row r="14" spans="1:8">
      <c r="A14" s="103"/>
      <c r="B14" s="114"/>
      <c r="C14" s="115" t="s">
        <v>65</v>
      </c>
      <c r="D14" s="116">
        <f>SUM(D9:D13)</f>
        <v>15</v>
      </c>
      <c r="E14" s="116">
        <f>SUM(E9:E13)</f>
        <v>0</v>
      </c>
      <c r="F14" s="116">
        <f>SUM(F9:F13)</f>
        <v>0</v>
      </c>
      <c r="G14" s="116">
        <f>SUM(G9:G13)</f>
        <v>1</v>
      </c>
      <c r="H14" s="117">
        <f>SUM(H9:H13)</f>
        <v>16</v>
      </c>
    </row>
    <row r="15" spans="1:8">
      <c r="B15" s="118"/>
      <c r="D15" s="119"/>
      <c r="E15" s="120"/>
      <c r="F15" s="120"/>
      <c r="G15" s="120"/>
      <c r="H15" s="120"/>
    </row>
    <row r="16" spans="1:8">
      <c r="C16" s="121" t="s">
        <v>66</v>
      </c>
      <c r="E16" s="122">
        <f>(D14+E14)*100/(H14-G14)</f>
        <v>100</v>
      </c>
      <c r="F16" s="8" t="s">
        <v>67</v>
      </c>
      <c r="H16" s="75"/>
    </row>
    <row r="17" spans="3:8">
      <c r="C17" s="121" t="s">
        <v>68</v>
      </c>
      <c r="E17" s="122">
        <f>D14*100/(H14-G14)</f>
        <v>100</v>
      </c>
      <c r="F17" s="8" t="s">
        <v>67</v>
      </c>
      <c r="H17" s="75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Module1</vt:lpstr>
      <vt:lpstr>TestDataModule1</vt:lpstr>
      <vt:lpstr>Module2</vt:lpstr>
      <vt:lpstr>Module3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Đỗ Nguyễn Nhật Trường</cp:lastModifiedBy>
  <cp:lastPrinted>2010-11-12T10:33:20Z</cp:lastPrinted>
  <dcterms:created xsi:type="dcterms:W3CDTF">2011-06-02T09:10:50Z</dcterms:created>
  <dcterms:modified xsi:type="dcterms:W3CDTF">2025-12-15T08:59:41Z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