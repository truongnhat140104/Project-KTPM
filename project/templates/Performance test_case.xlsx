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heckCompatibility="1"/>
  <mc:AlternateContent xmlns:mc="http://schemas.openxmlformats.org/markup-compatibility/2006">
    <mc:Choice Requires="x15">
      <x15ac:absPath xmlns:x15ac="http://schemas.microsoft.com/office/spreadsheetml/2010/11/ac" url="/Users/truongnhat/Desktop/Project-KTPM/project/templates/"/>
    </mc:Choice>
  </mc:AlternateContent>
  <xr:revisionPtr revIDLastSave="0" documentId="13_ncr:1_{C3FE5B37-4162-E749-BA91-8B04D273816C}" xr6:coauthVersionLast="47" xr6:coauthVersionMax="47" xr10:uidLastSave="{00000000-0000-0000-0000-000000000000}"/>
  <bookViews>
    <workbookView xWindow="0" yWindow="680" windowWidth="34560" windowHeight="20060" tabRatio="821" activeTab="2" xr2:uid="{54D1C333-A8F3-504F-8D67-28F9DF72E520}"/>
  </bookViews>
  <sheets>
    <sheet name="Cover" sheetId="1" r:id="rId1"/>
    <sheet name="Test case List" sheetId="2" r:id="rId2"/>
    <sheet name="Module1" sheetId="3" r:id="rId3"/>
    <sheet name="Module2" sheetId="9" r:id="rId4"/>
    <sheet name="testdata" sheetId="8" r:id="rId5"/>
    <sheet name="Test Report" sheetId="5" r:id="rId6"/>
  </sheets>
  <definedNames>
    <definedName name="_xlnm._FilterDatabase" localSheetId="2" hidden="1">Module1!$A$8:$G$8</definedName>
    <definedName name="_xlnm._FilterDatabase" localSheetId="3" hidden="1">Module2!#REF!</definedName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5" l="1"/>
  <c r="A6" i="9"/>
  <c r="D12" i="5" s="1"/>
  <c r="B6" i="9"/>
  <c r="E12" i="5" s="1"/>
  <c r="D6" i="9"/>
  <c r="G12" i="5" s="1"/>
  <c r="E6" i="9"/>
  <c r="H12" i="5" s="1"/>
  <c r="D6" i="3"/>
  <c r="B6" i="3"/>
  <c r="E11" i="5" s="1"/>
  <c r="A6" i="3"/>
  <c r="C6" i="1"/>
  <c r="D3" i="2"/>
  <c r="D4" i="2"/>
  <c r="C5" i="5"/>
  <c r="C11" i="5"/>
  <c r="C6" i="9" l="1"/>
  <c r="F12" i="5" s="1"/>
  <c r="E14" i="5"/>
  <c r="D14" i="5"/>
  <c r="H11" i="5"/>
  <c r="H14" i="5" s="1"/>
  <c r="G11" i="5"/>
  <c r="G14" i="5" l="1"/>
  <c r="E16" i="5" s="1"/>
  <c r="C6" i="3"/>
  <c r="F11" i="5" s="1"/>
  <c r="F14" i="5" s="1"/>
  <c r="E17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A2EFF0CB-5607-B541-A684-9B925F100C1E}">
      <text>
        <r>
          <rPr>
            <b/>
            <sz val="10"/>
            <color indexed="8"/>
            <rFont val="Times New Roman"/>
            <family val="1"/>
          </rPr>
          <t>*A</t>
        </r>
        <r>
          <rPr>
            <sz val="10"/>
            <color indexed="8"/>
            <rFont val="Times New Roman"/>
            <family val="1"/>
          </rPr>
          <t xml:space="preserve">: Add
  </t>
        </r>
        <r>
          <rPr>
            <b/>
            <sz val="10"/>
            <color indexed="8"/>
            <rFont val="Times New Roman"/>
            <family val="1"/>
          </rPr>
          <t>M</t>
        </r>
        <r>
          <rPr>
            <sz val="10"/>
            <color indexed="8"/>
            <rFont val="Times New Roman"/>
            <family val="1"/>
          </rPr>
          <t xml:space="preserve">: Modify
  </t>
        </r>
        <r>
          <rPr>
            <b/>
            <sz val="10"/>
            <color indexed="8"/>
            <rFont val="Times New Roman"/>
            <family val="1"/>
          </rPr>
          <t>D</t>
        </r>
        <r>
          <rPr>
            <sz val="10"/>
            <color indexed="8"/>
            <rFont val="Times New Roman"/>
            <family val="1"/>
          </rPr>
          <t xml:space="preserve">: Delete
</t>
        </r>
      </text>
    </comment>
  </commentList>
</comments>
</file>

<file path=xl/sharedStrings.xml><?xml version="1.0" encoding="utf-8"?>
<sst xmlns="http://schemas.openxmlformats.org/spreadsheetml/2006/main" count="187" uniqueCount="135">
  <si>
    <t>TEST CASE</t>
  </si>
  <si>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</si>
  <si>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</si>
  <si>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</si>
  <si>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</si>
  <si>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</si>
  <si>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</si>
  <si>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</si>
  <si>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</si>
  <si>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</si>
  <si>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</si>
  <si>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</si>
  <si>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</si>
  <si>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</si>
  <si>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</si>
  <si>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</si>
  <si>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</si>
  <si>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</si>
  <si>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</si>
  <si>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</si>
  <si>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</si>
  <si>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</si>
  <si>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</si>
  <si>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</si>
  <si>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</si>
  <si>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Module1</t>
  </si>
  <si>
    <t>Module2</t>
  </si>
  <si>
    <t>Module Code</t>
  </si>
  <si>
    <t xml:space="preserve">Module1 </t>
  </si>
  <si>
    <t>Pass</t>
  </si>
  <si>
    <t>Test requirement</t>
  </si>
  <si>
    <t>&lt;Brief description about requirements which are tested in this sheet&gt;</t>
  </si>
  <si>
    <t>Fail</t>
  </si>
  <si>
    <t>Tester</t>
  </si>
  <si>
    <t>Untested</t>
  </si>
  <si>
    <t>N/A</t>
  </si>
  <si>
    <t>Number of Test cases</t>
  </si>
  <si>
    <t>Untesed</t>
  </si>
  <si>
    <t>ID</t>
  </si>
  <si>
    <t>Result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</si>
  <si>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</si>
  <si>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</si>
  <si>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</si>
  <si>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</si>
  <si>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</si>
  <si>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Number of  test cases</t>
  </si>
  <si>
    <t>Sub total</t>
  </si>
  <si>
    <t>Test coverage</t>
  </si>
  <si>
    <t>%</t>
  </si>
  <si>
    <t>Test successful coverage</t>
  </si>
  <si>
    <t>&lt;List of documents which are referred in this version.&gt;</t>
  </si>
  <si>
    <t>TestData01</t>
  </si>
  <si>
    <t>TestData02</t>
  </si>
  <si>
    <t>TestData03</t>
  </si>
  <si>
    <t>TestData04</t>
  </si>
  <si>
    <t>TestData05</t>
  </si>
  <si>
    <t>TestData06</t>
  </si>
  <si>
    <t>TestData07</t>
  </si>
  <si>
    <t>TestData08</t>
  </si>
  <si>
    <t>TestData09</t>
  </si>
  <si>
    <t>TestData10</t>
  </si>
  <si>
    <t>TestData11</t>
  </si>
  <si>
    <t>TC_BC_01</t>
  </si>
  <si>
    <t>TC_BC_02</t>
  </si>
  <si>
    <t>TC_BC_03</t>
  </si>
  <si>
    <t>TC_BC_04</t>
  </si>
  <si>
    <t>TC_BC_05</t>
  </si>
  <si>
    <t>TC_BC_06</t>
  </si>
  <si>
    <t>TC_BC_07</t>
  </si>
  <si>
    <t>TC_OSC_01</t>
  </si>
  <si>
    <t>TC_OSC_02</t>
  </si>
  <si>
    <t>TC_OSC_03</t>
  </si>
  <si>
    <t>TC_OSC_04</t>
  </si>
  <si>
    <t>TC_OSC_05</t>
  </si>
  <si>
    <t>TC_OSC_06</t>
  </si>
  <si>
    <t>TestDataID</t>
  </si>
  <si>
    <t>Data Details</t>
  </si>
  <si>
    <t>Used Test Case</t>
  </si>
  <si>
    <t>Homepage layout test data</t>
  </si>
  <si>
    <t>Valid login credentials</t>
  </si>
  <si>
    <t>Add-to-cart product data</t>
  </si>
  <si>
    <t>Payment data</t>
  </si>
  <si>
    <t>UI reference data</t>
  </si>
  <si>
    <t>Windows layout test data</t>
  </si>
  <si>
    <t>macOS layout test data</t>
  </si>
  <si>
    <t>Login data for OS compatibility</t>
  </si>
  <si>
    <t>Add-to-cart data for OS compatibility</t>
  </si>
  <si>
    <t>TestData12</t>
  </si>
  <si>
    <t>Payment data for OS compatibility</t>
  </si>
  <si>
    <t>TestData13</t>
  </si>
  <si>
    <t>UI reference data for OS compatibility</t>
  </si>
  <si>
    <t>Font, color, icons consistent</t>
  </si>
  <si>
    <t>Product: Burger; Detail: Ngon</t>
  </si>
  <si>
    <t>OS: Windows 11; Resolution: 1920x1080</t>
  </si>
  <si>
    <t>OS: macOS 26; Resolution: 1440x900</t>
  </si>
  <si>
    <t>Product: Pizza; Detail: ngon</t>
  </si>
  <si>
    <t>Visa; Amount: Valid order total</t>
  </si>
  <si>
    <t>Font: Outfit; Icons: Material Icons</t>
  </si>
  <si>
    <t>Username: user1@example.com; Password: 123123123</t>
  </si>
  <si>
    <t>Credit Card: 4242 4242 4242; Exp: 12/27; CVV: 123; Name: Tinh</t>
  </si>
  <si>
    <t>URL: Application homepage; URL admin:</t>
  </si>
  <si>
    <t>Module</t>
  </si>
  <si>
    <t>Module 1</t>
  </si>
  <si>
    <t>Module 2</t>
  </si>
  <si>
    <t>Load Testing</t>
  </si>
  <si>
    <t>Stress Testing</t>
  </si>
  <si>
    <t>Type</t>
  </si>
  <si>
    <t>Test Scenario (Kịch bản)</t>
  </si>
  <si>
    <t>Workload (Cấu hình tải)</t>
  </si>
  <si>
    <t>Acceptance Criteria (Tiêu chí đạt)</t>
  </si>
  <si>
    <t>PT_LD_01</t>
  </si>
  <si>
    <t>PT_LD_02</t>
  </si>
  <si>
    <t>PT_CN_01</t>
  </si>
  <si>
    <t>Concurrency</t>
  </si>
  <si>
    <t>PT_ST_01</t>
  </si>
  <si>
    <t>PT_ST_02</t>
  </si>
  <si>
    <t>PT_RC_01</t>
  </si>
  <si>
    <t>Recovery</t>
  </si>
  <si>
    <t>Kiểm tra thời gian tải Home Page</t>
  </si>
  <si>
    <t>VUsers: 50 (Normal Load)
Ramp-up: 60s
Loop: 10 lần</t>
  </si>
  <si>
    <t>Avg Response Time ≤ 3 giây
Error Rate = 0%</t>
  </si>
  <si>
    <t>Kiểm tra thời gian tải Menu Page</t>
  </si>
  <si>
    <t>VUsers: 50 (Normal Load)
Ramp-up: 60s</t>
  </si>
  <si>
    <t>VUsers: 500
Ramp-up: 5–10 phút
Duration: 15 phút</t>
  </si>
  <si>
    <t>Hệ thống vẫn phản hồi (Responsive)
Error Rate &lt; 1%</t>
  </si>
  <si>
    <t>Tăng tải vượt quá năng lực thiết kế</t>
  </si>
  <si>
    <t>VUsers: tăng dần từ 500 → 1000
Step: +100 users/phút</t>
  </si>
  <si>
    <t>Không bị timeout nghiêm trọng
Hệ thống không crash
Database không bị deadlock</t>
  </si>
  <si>
    <t>Kiểm tra Graceful Degradation khi hệ thống quá tải</t>
  </si>
  <si>
    <t>VUsers: tại mức đỉnh (breaking point)</t>
  </si>
  <si>
    <t>Hiển thị thông báo lỗi thân thiện
Không hiển thị log code / stack trace / trang trắng</t>
  </si>
  <si>
    <t>Kiểm tra khả năng tự phục hồi hệ thống</t>
  </si>
  <si>
    <t>Chạy Stress Test (High Load)
Giảm tải về 0
Chạy lại Normal Load (50 users)</t>
  </si>
  <si>
    <t>Hệ thống hoạt động bình thường trở lại
Không cần restart server thủ công</t>
  </si>
  <si>
    <t>Kiểm tra hệ thống khi 500 users thực hiện thêm sản phẩm vào giỏ hàng đồng thời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</si>
</sst>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-mmm\-yy;@"/>
  </numFmts>
  <fonts count="23"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b/>
      <sz val="22"/>
      <color indexed="10"/>
      <name val="Tahoma"/>
      <family val="2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u/>
      <sz val="10"/>
      <color indexed="12"/>
      <name val="Tahoma"/>
      <family val="2"/>
    </font>
    <font>
      <u/>
      <sz val="11"/>
      <color indexed="12"/>
      <name val="ＭＳ Ｐゴシック"/>
      <family val="3"/>
      <charset val="128"/>
    </font>
    <font>
      <sz val="10"/>
      <color indexed="8"/>
      <name val="Tahoma"/>
      <family val="2"/>
    </font>
    <font>
      <sz val="10"/>
      <color indexed="9"/>
      <name val="Tahoma"/>
      <family val="2"/>
    </font>
    <font>
      <b/>
      <sz val="10"/>
      <color indexed="12"/>
      <name val="Tahoma"/>
      <family val="2"/>
    </font>
    <font>
      <sz val="11"/>
      <name val="ＭＳ Ｐゴシック"/>
      <family val="3"/>
      <charset val="128"/>
    </font>
    <font>
      <sz val="8"/>
      <name val="ＭＳ Ｐゴシック"/>
      <family val="3"/>
      <charset val="128"/>
    </font>
    <font>
      <sz val="14"/>
      <name val="Times New Roman"/>
      <family val="1"/>
    </font>
    <font>
      <sz val="14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5" fillId="0" borderId="0" applyNumberFormat="0" applyFill="0" applyBorder="0" applyAlignment="0" applyProtection="0"/>
    <xf numFmtId="0" fontId="19" fillId="0" borderId="0"/>
    <xf numFmtId="0" fontId="19" fillId="0" borderId="0"/>
    <xf numFmtId="0" fontId="1" fillId="0" borderId="0"/>
  </cellStyleXfs>
  <cellXfs count="12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indent="1"/>
    </xf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2" borderId="0" xfId="0" applyFont="1" applyFill="1" applyAlignment="1">
      <alignment horizontal="left" indent="1"/>
    </xf>
    <xf numFmtId="0" fontId="7" fillId="0" borderId="0" xfId="0" applyFont="1" applyAlignment="1">
      <alignment horizontal="left" indent="1"/>
    </xf>
    <xf numFmtId="0" fontId="2" fillId="2" borderId="0" xfId="0" applyFont="1" applyFill="1"/>
    <xf numFmtId="0" fontId="6" fillId="2" borderId="2" xfId="0" applyFont="1" applyFill="1" applyBorder="1" applyAlignment="1">
      <alignment horizontal="left"/>
    </xf>
    <xf numFmtId="0" fontId="2" fillId="0" borderId="3" xfId="0" applyFont="1" applyBorder="1"/>
    <xf numFmtId="0" fontId="6" fillId="2" borderId="2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left" indent="1"/>
    </xf>
    <xf numFmtId="0" fontId="6" fillId="2" borderId="0" xfId="0" applyFont="1" applyFill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164" fontId="8" fillId="3" borderId="4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2" fillId="0" borderId="0" xfId="0" applyFont="1" applyAlignment="1">
      <alignment vertical="top"/>
    </xf>
    <xf numFmtId="0" fontId="7" fillId="0" borderId="7" xfId="0" applyFont="1" applyBorder="1" applyAlignment="1">
      <alignment vertical="top" wrapText="1"/>
    </xf>
    <xf numFmtId="49" fontId="2" fillId="0" borderId="8" xfId="0" applyNumberFormat="1" applyFont="1" applyBorder="1" applyAlignment="1">
      <alignment vertical="top"/>
    </xf>
    <xf numFmtId="0" fontId="2" fillId="0" borderId="8" xfId="0" applyFont="1" applyBorder="1" applyAlignment="1">
      <alignment vertical="top"/>
    </xf>
    <xf numFmtId="15" fontId="2" fillId="0" borderId="8" xfId="0" applyNumberFormat="1" applyFont="1" applyBorder="1" applyAlignment="1">
      <alignment vertical="top"/>
    </xf>
    <xf numFmtId="0" fontId="7" fillId="0" borderId="9" xfId="0" applyFont="1" applyBorder="1" applyAlignment="1">
      <alignment vertical="top" wrapText="1"/>
    </xf>
    <xf numFmtId="164" fontId="2" fillId="0" borderId="7" xfId="0" applyNumberFormat="1" applyFont="1" applyBorder="1" applyAlignment="1">
      <alignment vertical="top"/>
    </xf>
    <xf numFmtId="0" fontId="2" fillId="0" borderId="9" xfId="0" applyFont="1" applyBorder="1" applyAlignment="1">
      <alignment vertical="top"/>
    </xf>
    <xf numFmtId="164" fontId="2" fillId="0" borderId="10" xfId="0" applyNumberFormat="1" applyFont="1" applyBorder="1" applyAlignment="1">
      <alignment vertical="top"/>
    </xf>
    <xf numFmtId="49" fontId="2" fillId="0" borderId="11" xfId="0" applyNumberFormat="1" applyFont="1" applyBorder="1" applyAlignment="1">
      <alignment vertical="top"/>
    </xf>
    <xf numFmtId="0" fontId="2" fillId="0" borderId="11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1" fontId="2" fillId="2" borderId="0" xfId="0" applyNumberFormat="1" applyFont="1" applyFill="1"/>
    <xf numFmtId="0" fontId="2" fillId="2" borderId="0" xfId="0" applyFont="1" applyFill="1" applyAlignment="1">
      <alignment horizontal="left"/>
    </xf>
    <xf numFmtId="1" fontId="2" fillId="2" borderId="0" xfId="0" applyNumberFormat="1" applyFont="1" applyFill="1" applyProtection="1">
      <protection hidden="1"/>
    </xf>
    <xf numFmtId="0" fontId="5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12" fillId="2" borderId="0" xfId="0" applyFont="1" applyFill="1" applyAlignment="1">
      <alignment horizontal="left"/>
    </xf>
    <xf numFmtId="0" fontId="2" fillId="2" borderId="0" xfId="0" applyFont="1" applyFill="1" applyAlignment="1">
      <alignment wrapText="1"/>
    </xf>
    <xf numFmtId="1" fontId="6" fillId="2" borderId="0" xfId="0" applyNumberFormat="1" applyFont="1" applyFill="1"/>
    <xf numFmtId="0" fontId="2" fillId="2" borderId="0" xfId="0" applyFont="1" applyFill="1" applyAlignment="1">
      <alignment vertical="center"/>
    </xf>
    <xf numFmtId="1" fontId="2" fillId="2" borderId="0" xfId="0" applyNumberFormat="1" applyFont="1" applyFill="1" applyAlignment="1" applyProtection="1">
      <alignment vertical="center"/>
      <protection hidden="1"/>
    </xf>
    <xf numFmtId="0" fontId="2" fillId="2" borderId="0" xfId="0" applyFont="1" applyFill="1" applyAlignment="1">
      <alignment horizontal="left" vertical="center"/>
    </xf>
    <xf numFmtId="0" fontId="13" fillId="2" borderId="0" xfId="0" applyFont="1" applyFill="1" applyAlignment="1">
      <alignment horizontal="center"/>
    </xf>
    <xf numFmtId="1" fontId="8" fillId="4" borderId="4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vertical="center"/>
    </xf>
    <xf numFmtId="49" fontId="2" fillId="2" borderId="8" xfId="0" applyNumberFormat="1" applyFont="1" applyFill="1" applyBorder="1" applyAlignment="1">
      <alignment horizontal="left" vertical="center"/>
    </xf>
    <xf numFmtId="0" fontId="14" fillId="2" borderId="8" xfId="1" applyNumberFormat="1" applyFont="1" applyFill="1" applyBorder="1" applyAlignment="1" applyProtection="1">
      <alignment horizontal="left" vertical="center"/>
    </xf>
    <xf numFmtId="0" fontId="2" fillId="2" borderId="9" xfId="0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1" fontId="2" fillId="2" borderId="10" xfId="0" applyNumberFormat="1" applyFont="1" applyFill="1" applyBorder="1" applyAlignment="1">
      <alignment vertical="center"/>
    </xf>
    <xf numFmtId="49" fontId="2" fillId="2" borderId="11" xfId="0" applyNumberFormat="1" applyFont="1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/>
    </xf>
    <xf numFmtId="0" fontId="16" fillId="2" borderId="14" xfId="0" applyFont="1" applyFill="1" applyBorder="1"/>
    <xf numFmtId="0" fontId="16" fillId="2" borderId="14" xfId="0" applyFont="1" applyFill="1" applyBorder="1" applyAlignment="1">
      <alignment wrapText="1"/>
    </xf>
    <xf numFmtId="0" fontId="2" fillId="2" borderId="14" xfId="0" applyFont="1" applyFill="1" applyBorder="1" applyAlignment="1">
      <alignment wrapText="1"/>
    </xf>
    <xf numFmtId="0" fontId="13" fillId="2" borderId="0" xfId="0" applyFont="1" applyFill="1" applyAlignment="1">
      <alignment wrapText="1"/>
    </xf>
    <xf numFmtId="0" fontId="16" fillId="2" borderId="0" xfId="0" applyFont="1" applyFill="1"/>
    <xf numFmtId="0" fontId="13" fillId="2" borderId="15" xfId="3" applyFont="1" applyFill="1" applyBorder="1" applyAlignment="1">
      <alignment horizontal="left" wrapText="1"/>
    </xf>
    <xf numFmtId="0" fontId="13" fillId="2" borderId="16" xfId="3" applyFont="1" applyFill="1" applyBorder="1" applyAlignment="1">
      <alignment horizontal="left" wrapText="1"/>
    </xf>
    <xf numFmtId="0" fontId="11" fillId="2" borderId="0" xfId="0" applyFont="1" applyFill="1"/>
    <xf numFmtId="0" fontId="11" fillId="2" borderId="16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wrapText="1"/>
    </xf>
    <xf numFmtId="0" fontId="16" fillId="2" borderId="17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16" fillId="2" borderId="19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wrapText="1"/>
    </xf>
    <xf numFmtId="0" fontId="13" fillId="2" borderId="0" xfId="2" applyFont="1" applyFill="1"/>
    <xf numFmtId="0" fontId="2" fillId="2" borderId="0" xfId="2" applyFont="1" applyFill="1"/>
    <xf numFmtId="164" fontId="2" fillId="2" borderId="0" xfId="2" applyNumberFormat="1" applyFont="1" applyFill="1"/>
    <xf numFmtId="0" fontId="6" fillId="2" borderId="3" xfId="0" applyFont="1" applyFill="1" applyBorder="1" applyAlignment="1">
      <alignment horizontal="left"/>
    </xf>
    <xf numFmtId="0" fontId="2" fillId="2" borderId="3" xfId="0" applyFont="1" applyFill="1" applyBorder="1" applyAlignment="1">
      <alignment vertical="top"/>
    </xf>
    <xf numFmtId="0" fontId="6" fillId="2" borderId="2" xfId="0" applyFont="1" applyFill="1" applyBorder="1" applyAlignment="1">
      <alignment vertical="center"/>
    </xf>
    <xf numFmtId="0" fontId="7" fillId="2" borderId="3" xfId="0" applyFont="1" applyFill="1" applyBorder="1" applyAlignment="1">
      <alignment vertical="top"/>
    </xf>
    <xf numFmtId="0" fontId="7" fillId="2" borderId="0" xfId="2" applyFont="1" applyFill="1"/>
    <xf numFmtId="0" fontId="2" fillId="2" borderId="20" xfId="0" applyFont="1" applyFill="1" applyBorder="1"/>
    <xf numFmtId="0" fontId="8" fillId="3" borderId="21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 wrapText="1"/>
    </xf>
    <xf numFmtId="0" fontId="8" fillId="3" borderId="13" xfId="0" applyFont="1" applyFill="1" applyBorder="1" applyAlignment="1">
      <alignment horizontal="center"/>
    </xf>
    <xf numFmtId="0" fontId="8" fillId="3" borderId="22" xfId="0" applyFont="1" applyFill="1" applyBorder="1" applyAlignment="1">
      <alignment horizontal="center" wrapText="1"/>
    </xf>
    <xf numFmtId="0" fontId="2" fillId="2" borderId="23" xfId="0" applyFont="1" applyFill="1" applyBorder="1" applyAlignment="1">
      <alignment horizontal="center"/>
    </xf>
    <xf numFmtId="0" fontId="2" fillId="2" borderId="8" xfId="0" applyFont="1" applyFill="1" applyBorder="1"/>
    <xf numFmtId="0" fontId="2" fillId="2" borderId="8" xfId="0" applyFont="1" applyFill="1" applyBorder="1" applyAlignment="1">
      <alignment horizontal="center"/>
    </xf>
    <xf numFmtId="0" fontId="2" fillId="2" borderId="24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17" fillId="3" borderId="26" xfId="0" applyFont="1" applyFill="1" applyBorder="1" applyAlignment="1">
      <alignment horizontal="center"/>
    </xf>
    <xf numFmtId="0" fontId="8" fillId="3" borderId="11" xfId="0" applyFont="1" applyFill="1" applyBorder="1"/>
    <xf numFmtId="0" fontId="17" fillId="3" borderId="11" xfId="0" applyFont="1" applyFill="1" applyBorder="1" applyAlignment="1">
      <alignment horizontal="center"/>
    </xf>
    <xf numFmtId="0" fontId="17" fillId="3" borderId="27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9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left"/>
    </xf>
    <xf numFmtId="2" fontId="18" fillId="2" borderId="0" xfId="0" applyNumberFormat="1" applyFont="1" applyFill="1" applyAlignment="1">
      <alignment horizontal="right" wrapText="1"/>
    </xf>
    <xf numFmtId="0" fontId="15" fillId="2" borderId="8" xfId="1" applyNumberFormat="1" applyFill="1" applyBorder="1" applyAlignment="1" applyProtection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2" borderId="8" xfId="1" applyNumberFormat="1" applyFill="1" applyBorder="1" applyAlignment="1" applyProtection="1">
      <alignment horizontal="left" vertical="center"/>
    </xf>
    <xf numFmtId="0" fontId="8" fillId="3" borderId="31" xfId="3" applyFont="1" applyFill="1" applyBorder="1" applyAlignment="1">
      <alignment horizontal="center" vertical="center" wrapText="1"/>
    </xf>
    <xf numFmtId="0" fontId="8" fillId="3" borderId="31" xfId="3" applyFont="1" applyFill="1" applyBorder="1" applyAlignment="1">
      <alignment horizontal="center" vertical="center"/>
    </xf>
    <xf numFmtId="0" fontId="21" fillId="5" borderId="31" xfId="0" applyFont="1" applyFill="1" applyBorder="1"/>
    <xf numFmtId="0" fontId="21" fillId="0" borderId="31" xfId="0" applyFont="1" applyBorder="1"/>
    <xf numFmtId="0" fontId="21" fillId="0" borderId="31" xfId="0" applyFont="1" applyBorder="1" applyAlignment="1">
      <alignment wrapText="1"/>
    </xf>
    <xf numFmtId="0" fontId="21" fillId="5" borderId="31" xfId="0" applyFont="1" applyFill="1" applyBorder="1" applyAlignment="1">
      <alignment horizontal="center" vertical="center"/>
    </xf>
    <xf numFmtId="0" fontId="22" fillId="0" borderId="31" xfId="0" applyFont="1" applyBorder="1"/>
    <xf numFmtId="0" fontId="22" fillId="0" borderId="31" xfId="0" applyFont="1" applyBorder="1" applyAlignment="1">
      <alignment horizontal="center" vertical="center" wrapText="1"/>
    </xf>
    <xf numFmtId="0" fontId="22" fillId="0" borderId="31" xfId="0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/>
    </xf>
    <xf numFmtId="0" fontId="6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" fontId="6" fillId="2" borderId="2" xfId="0" applyNumberFormat="1" applyFont="1" applyFill="1" applyBorder="1" applyAlignment="1">
      <alignment vertical="center" wrapText="1"/>
    </xf>
    <xf numFmtId="0" fontId="7" fillId="2" borderId="2" xfId="0" applyFont="1" applyFill="1" applyBorder="1" applyAlignment="1">
      <alignment vertical="top" wrapText="1"/>
    </xf>
    <xf numFmtId="1" fontId="6" fillId="2" borderId="1" xfId="0" applyNumberFormat="1" applyFont="1" applyFill="1" applyBorder="1"/>
    <xf numFmtId="0" fontId="7" fillId="2" borderId="2" xfId="0" applyFont="1" applyFill="1" applyBorder="1" applyAlignment="1">
      <alignment horizontal="left"/>
    </xf>
    <xf numFmtId="0" fontId="16" fillId="2" borderId="28" xfId="0" applyFont="1" applyFill="1" applyBorder="1" applyAlignment="1">
      <alignment horizontal="center" vertical="center" wrapText="1"/>
    </xf>
    <xf numFmtId="0" fontId="7" fillId="2" borderId="29" xfId="3" applyFont="1" applyFill="1" applyBorder="1" applyAlignment="1">
      <alignment horizontal="left" wrapText="1"/>
    </xf>
    <xf numFmtId="0" fontId="7" fillId="2" borderId="30" xfId="3" applyFont="1" applyFill="1" applyBorder="1" applyAlignment="1">
      <alignment horizontal="left" wrapText="1"/>
    </xf>
    <xf numFmtId="0" fontId="11" fillId="2" borderId="29" xfId="0" applyFont="1" applyFill="1" applyBorder="1" applyAlignment="1">
      <alignment horizontal="center" vertical="center" wrapText="1"/>
    </xf>
    <xf numFmtId="0" fontId="21" fillId="0" borderId="31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left"/>
    </xf>
    <xf numFmtId="0" fontId="7" fillId="2" borderId="2" xfId="2" applyFont="1" applyFill="1" applyBorder="1" applyAlignment="1">
      <alignment vertical="top"/>
    </xf>
    <xf numFmtId="0" fontId="5" fillId="2" borderId="0" xfId="2" applyFont="1" applyFill="1" applyAlignment="1">
      <alignment horizontal="center"/>
    </xf>
  </cellXfs>
  <cellStyles count="5">
    <cellStyle name="Hyperlink" xfId="1" builtinId="8"/>
    <cellStyle name="Normal" xfId="0" builtinId="0"/>
    <cellStyle name="Normal_Functional Test Case v1.0" xfId="2" xr:uid="{C48BB584-700B-D64B-8404-4676C820111A}"/>
    <cellStyle name="Normal_Sheet1" xfId="3" xr:uid="{A9264020-C429-5142-9C39-B67A411B90CE}"/>
    <cellStyle name="標準_結合試験(AllOvertheWorld)" xfId="4" xr:uid="{68F5B3C1-6BAD-E84F-8A2E-C6AF50D2838D}"/>
  </cellStyles>
  <dxfs count="0"/>
  <tableStyles count="1" defaultTableStyle="TableStyleMedium9" defaultPivotStyle="PivotStyleLight16">
    <tableStyle name="Invisible" pivot="0" table="0" count="0" xr9:uid="{AF480CE7-EB18-DC4D-AB1A-332A241A87F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348D-9796-DF47-B02F-62DFD208A110}">
  <dimension ref="A2:G18"/>
  <sheetViews>
    <sheetView workbookViewId="0"/>
  </sheetViews>
  <sheetFormatPr baseColWidth="10" defaultColWidth="9" defaultRowHeight="13"/>
  <cols>
    <col min="1" max="1" width="2.1640625" style="1" customWidth="1"/>
    <col min="2" max="2" width="19.6640625" style="2" customWidth="1"/>
    <col min="3" max="3" width="9.1640625" style="1" customWidth="1"/>
    <col min="4" max="4" width="14.5" style="1" customWidth="1"/>
    <col min="5" max="5" width="8" style="1" customWidth="1"/>
    <col min="6" max="6" width="31.1640625" style="1" customWidth="1"/>
    <col min="7" max="7" width="31" style="1" customWidth="1"/>
    <col min="8" max="16384" width="9" style="1"/>
  </cols>
  <sheetData>
    <row r="2" spans="1:7" s="5" customFormat="1" ht="75.75" customHeight="1">
      <c r="A2" s="3"/>
      <c r="B2" s="4"/>
      <c r="C2" s="112" t="s">
        <v>0</v>
      </c>
      <c r="D2" s="112"/>
      <c r="E2" s="112"/>
      <c r="F2" s="112"/>
      <c r="G2" s="112"/>
    </row>
    <row r="3" spans="1:7">
      <c r="B3" s="6"/>
      <c r="C3" s="7"/>
      <c r="F3" s="8"/>
    </row>
    <row r="4" spans="1:7" ht="14.25" customHeight="1">
      <c r="B4" s="9" t="s">
        <v>1</v>
      </c>
      <c r="C4" s="113" t="s">
        <v>2</v>
      </c>
      <c r="D4" s="113"/>
      <c r="E4" s="113"/>
      <c r="F4" s="9" t="s">
        <v>3</v>
      </c>
      <c r="G4" s="10"/>
    </row>
    <row r="5" spans="1:7" ht="14.25" customHeight="1">
      <c r="B5" s="9" t="s">
        <v>4</v>
      </c>
      <c r="C5" s="113" t="s">
        <v>5</v>
      </c>
      <c r="D5" s="113"/>
      <c r="E5" s="113"/>
      <c r="F5" s="9" t="s">
        <v>6</v>
      </c>
      <c r="G5" s="10"/>
    </row>
    <row r="6" spans="1:7" ht="15.75" customHeight="1">
      <c r="B6" s="114" t="s">
        <v>7</v>
      </c>
      <c r="C6" s="115" t="str">
        <f>C5&amp;"_"&amp;"XXX"&amp;"_"&amp;"vx.x"</f>
        <v>&lt;Project Code&gt;_XXX_vx.x</v>
      </c>
      <c r="D6" s="115"/>
      <c r="E6" s="115"/>
      <c r="F6" s="9" t="s">
        <v>8</v>
      </c>
      <c r="G6" s="12"/>
    </row>
    <row r="7" spans="1:7" ht="13.5" customHeight="1">
      <c r="B7" s="114"/>
      <c r="C7" s="115"/>
      <c r="D7" s="115"/>
      <c r="E7" s="115"/>
      <c r="F7" s="9" t="s">
        <v>9</v>
      </c>
      <c r="G7" s="12"/>
    </row>
    <row r="8" spans="1:7">
      <c r="B8" s="13"/>
      <c r="C8" s="14"/>
      <c r="F8" s="6"/>
      <c r="G8" s="7"/>
    </row>
    <row r="10" spans="1:7">
      <c r="B10" s="15" t="s">
        <v>10</v>
      </c>
    </row>
    <row r="11" spans="1:7" s="16" customFormat="1">
      <c r="B11" s="17" t="s">
        <v>11</v>
      </c>
      <c r="C11" s="18" t="s">
        <v>9</v>
      </c>
      <c r="D11" s="18" t="s">
        <v>12</v>
      </c>
      <c r="E11" s="18" t="s">
        <v>13</v>
      </c>
      <c r="F11" s="18" t="s">
        <v>14</v>
      </c>
      <c r="G11" s="19" t="s">
        <v>15</v>
      </c>
    </row>
    <row r="12" spans="1:7" s="20" customFormat="1" ht="28">
      <c r="B12" s="21" t="s">
        <v>16</v>
      </c>
      <c r="C12" s="22"/>
      <c r="D12" s="23"/>
      <c r="E12" s="23"/>
      <c r="F12" s="24"/>
      <c r="G12" s="25" t="s">
        <v>50</v>
      </c>
    </row>
    <row r="13" spans="1:7" s="20" customFormat="1" ht="21.75" customHeight="1">
      <c r="B13" s="26"/>
      <c r="C13" s="22"/>
      <c r="D13" s="23"/>
      <c r="E13" s="23"/>
      <c r="F13" s="23"/>
      <c r="G13" s="27"/>
    </row>
    <row r="14" spans="1:7" s="20" customFormat="1" ht="19.5" customHeight="1">
      <c r="B14" s="26"/>
      <c r="C14" s="22"/>
      <c r="D14" s="23"/>
      <c r="E14" s="23"/>
      <c r="F14" s="23"/>
      <c r="G14" s="27"/>
    </row>
    <row r="15" spans="1:7" s="20" customFormat="1" ht="21.75" customHeight="1">
      <c r="B15" s="26"/>
      <c r="C15" s="22"/>
      <c r="D15" s="23"/>
      <c r="E15" s="23"/>
      <c r="F15" s="23"/>
      <c r="G15" s="27"/>
    </row>
    <row r="16" spans="1:7" s="20" customFormat="1" ht="19.5" customHeight="1">
      <c r="B16" s="26"/>
      <c r="C16" s="22"/>
      <c r="D16" s="23"/>
      <c r="E16" s="23"/>
      <c r="F16" s="23"/>
      <c r="G16" s="27"/>
    </row>
    <row r="17" spans="2:7" s="20" customFormat="1" ht="21.75" customHeight="1">
      <c r="B17" s="26"/>
      <c r="C17" s="22"/>
      <c r="D17" s="23"/>
      <c r="E17" s="23"/>
      <c r="F17" s="23"/>
      <c r="G17" s="27"/>
    </row>
    <row r="18" spans="2:7" s="20" customFormat="1" ht="19.5" customHeight="1">
      <c r="B18" s="28"/>
      <c r="C18" s="29"/>
      <c r="D18" s="30"/>
      <c r="E18" s="30"/>
      <c r="F18" s="30"/>
      <c r="G18" s="31"/>
    </row>
  </sheetData>
  <mergeCells count="5">
    <mergeCell ref="C2:G2"/>
    <mergeCell ref="C4:E4"/>
    <mergeCell ref="C5:E5"/>
    <mergeCell ref="B6:B7"/>
    <mergeCell ref="C6:E7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v2/0&amp;C&amp;"Tahoma,Regular"&amp;8Internal use&amp;R&amp;"tahomaTahoma,Regular"&amp;8&amp;P/&amp;N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C800-0BA0-DF42-BAF3-9D3D5760E564}">
  <dimension ref="B1:F21"/>
  <sheetViews>
    <sheetView zoomScale="178" workbookViewId="0">
      <selection activeCell="D10" sqref="D10"/>
    </sheetView>
  </sheetViews>
  <sheetFormatPr baseColWidth="10" defaultColWidth="9" defaultRowHeight="13"/>
  <cols>
    <col min="1" max="1" width="1.33203125" style="8" customWidth="1"/>
    <col min="2" max="2" width="11.83203125" style="32" customWidth="1"/>
    <col min="3" max="3" width="26.5" style="33" customWidth="1"/>
    <col min="4" max="4" width="17.1640625" style="33" customWidth="1"/>
    <col min="5" max="5" width="28.1640625" style="33" customWidth="1"/>
    <col min="6" max="6" width="30.6640625" style="33" customWidth="1"/>
    <col min="7" max="16384" width="9" style="8"/>
  </cols>
  <sheetData>
    <row r="1" spans="2:6" ht="25">
      <c r="B1" s="34"/>
      <c r="D1" s="35" t="s">
        <v>17</v>
      </c>
      <c r="E1" s="36"/>
    </row>
    <row r="2" spans="2:6" ht="13.5" customHeight="1">
      <c r="B2" s="34"/>
      <c r="D2" s="37"/>
      <c r="E2" s="37"/>
    </row>
    <row r="3" spans="2:6">
      <c r="B3" s="118" t="s">
        <v>1</v>
      </c>
      <c r="C3" s="118"/>
      <c r="D3" s="119" t="str">
        <f>Cover!C4</f>
        <v>&lt;Project Name&gt;</v>
      </c>
      <c r="E3" s="119"/>
      <c r="F3" s="119"/>
    </row>
    <row r="4" spans="2:6">
      <c r="B4" s="118" t="s">
        <v>4</v>
      </c>
      <c r="C4" s="118"/>
      <c r="D4" s="119" t="str">
        <f>Cover!C5</f>
        <v>&lt;Project Code&gt;</v>
      </c>
      <c r="E4" s="119"/>
      <c r="F4" s="119"/>
    </row>
    <row r="5" spans="2:6" s="38" customFormat="1" ht="84.75" customHeight="1">
      <c r="B5" s="116" t="s">
        <v>18</v>
      </c>
      <c r="C5" s="116"/>
      <c r="D5" s="117" t="s">
        <v>19</v>
      </c>
      <c r="E5" s="117"/>
      <c r="F5" s="117"/>
    </row>
    <row r="6" spans="2:6">
      <c r="B6" s="39"/>
      <c r="C6" s="8"/>
      <c r="D6" s="8"/>
      <c r="E6" s="8"/>
      <c r="F6" s="8"/>
    </row>
    <row r="7" spans="2:6" s="40" customFormat="1">
      <c r="B7" s="41"/>
      <c r="C7" s="42"/>
      <c r="D7" s="42"/>
      <c r="E7" s="42"/>
      <c r="F7" s="42"/>
    </row>
    <row r="8" spans="2:6" s="43" customFormat="1" ht="21" customHeight="1">
      <c r="B8" s="44" t="s">
        <v>20</v>
      </c>
      <c r="C8" s="45" t="s">
        <v>21</v>
      </c>
      <c r="D8" s="45" t="s">
        <v>22</v>
      </c>
      <c r="E8" s="46" t="s">
        <v>23</v>
      </c>
      <c r="F8" s="47" t="s">
        <v>24</v>
      </c>
    </row>
    <row r="9" spans="2:6">
      <c r="B9" s="48">
        <v>1</v>
      </c>
      <c r="C9" s="49" t="s">
        <v>104</v>
      </c>
      <c r="D9" s="50" t="s">
        <v>25</v>
      </c>
      <c r="E9" s="50"/>
      <c r="F9" s="51"/>
    </row>
    <row r="10" spans="2:6" ht="14">
      <c r="B10" s="48">
        <v>2</v>
      </c>
      <c r="C10" s="49" t="s">
        <v>105</v>
      </c>
      <c r="D10" s="101" t="s">
        <v>26</v>
      </c>
      <c r="E10" s="50"/>
      <c r="F10" s="51"/>
    </row>
    <row r="11" spans="2:6" ht="14">
      <c r="B11" s="48"/>
      <c r="C11" s="49"/>
      <c r="D11" s="102"/>
      <c r="E11" s="50"/>
      <c r="F11" s="51"/>
    </row>
    <row r="12" spans="2:6">
      <c r="B12" s="48"/>
      <c r="C12" s="49"/>
      <c r="D12" s="50"/>
      <c r="E12" s="50"/>
      <c r="F12" s="51"/>
    </row>
    <row r="13" spans="2:6">
      <c r="B13" s="48"/>
      <c r="C13" s="49"/>
      <c r="D13" s="50"/>
      <c r="E13" s="50"/>
      <c r="F13" s="51"/>
    </row>
    <row r="14" spans="2:6">
      <c r="B14" s="48"/>
      <c r="C14" s="49"/>
      <c r="D14" s="52"/>
      <c r="E14" s="52"/>
      <c r="F14" s="51"/>
    </row>
    <row r="15" spans="2:6">
      <c r="B15" s="48"/>
      <c r="C15" s="49"/>
      <c r="D15" s="52"/>
      <c r="E15" s="52"/>
      <c r="F15" s="51"/>
    </row>
    <row r="16" spans="2:6">
      <c r="B16" s="48"/>
      <c r="C16" s="49"/>
      <c r="D16" s="52"/>
      <c r="E16" s="52"/>
      <c r="F16" s="51"/>
    </row>
    <row r="17" spans="2:6">
      <c r="B17" s="48"/>
      <c r="C17" s="49"/>
      <c r="D17" s="52"/>
      <c r="E17" s="52"/>
      <c r="F17" s="51"/>
    </row>
    <row r="18" spans="2:6">
      <c r="B18" s="48"/>
      <c r="C18" s="49"/>
      <c r="D18" s="52"/>
      <c r="E18" s="52"/>
      <c r="F18" s="51"/>
    </row>
    <row r="19" spans="2:6">
      <c r="B19" s="48"/>
      <c r="C19" s="49"/>
      <c r="D19" s="52"/>
      <c r="E19" s="52"/>
      <c r="F19" s="51"/>
    </row>
    <row r="20" spans="2:6">
      <c r="B20" s="48"/>
      <c r="C20" s="49"/>
      <c r="D20" s="52"/>
      <c r="E20" s="52"/>
      <c r="F20" s="51"/>
    </row>
    <row r="21" spans="2:6">
      <c r="B21" s="53"/>
      <c r="C21" s="54"/>
      <c r="D21" s="55"/>
      <c r="E21" s="55"/>
      <c r="F21" s="56"/>
    </row>
  </sheetData>
  <mergeCells count="6">
    <mergeCell ref="B5:C5"/>
    <mergeCell ref="D5:F5"/>
    <mergeCell ref="B3:C3"/>
    <mergeCell ref="D3:F3"/>
    <mergeCell ref="B4:C4"/>
    <mergeCell ref="D4:F4"/>
  </mergeCells>
  <phoneticPr fontId="0" type="noConversion"/>
  <hyperlinks>
    <hyperlink ref="D9" location="Module1!B10" display="Module1" xr:uid="{FC77F630-5337-2145-ADDB-A7DD980E1A2D}"/>
    <hyperlink ref="D10" location="Module2!A1" display="Module2" xr:uid="{EFC3B2F0-9872-0B4D-9F85-37113E4168DE}"/>
  </hyperlinks>
  <pageMargins left="0.74791666666666667" right="0.74791666666666667" top="0.98402777777777783" bottom="1.1506944444444445" header="0.51180555555555562" footer="0.98402777777777783"/>
  <pageSetup paperSize="9" firstPageNumber="0" orientation="landscape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6ABC5-B443-FF41-BA73-04E67E6728A8}">
  <dimension ref="A1:I14"/>
  <sheetViews>
    <sheetView tabSelected="1" zoomScale="110" zoomScaleNormal="110" workbookViewId="0">
      <pane ySplit="8" topLeftCell="A9" activePane="bottomLeft" state="frozen"/>
      <selection pane="bottomLeft" activeCell="A9" sqref="A9:F11"/>
    </sheetView>
  </sheetViews>
  <sheetFormatPr baseColWidth="10" defaultColWidth="9" defaultRowHeight="13"/>
  <cols>
    <col min="1" max="1" width="14.33203125" style="8" customWidth="1"/>
    <col min="2" max="2" width="25.83203125" style="8" customWidth="1"/>
    <col min="3" max="3" width="26.83203125" style="8" customWidth="1"/>
    <col min="4" max="4" width="28.5" style="8" customWidth="1"/>
    <col min="5" max="5" width="31.6640625" style="8" customWidth="1"/>
    <col min="6" max="6" width="23.83203125" style="8" customWidth="1"/>
    <col min="7" max="7" width="14.83203125" style="8" customWidth="1"/>
    <col min="8" max="8" width="19.33203125" style="8" customWidth="1"/>
    <col min="9" max="9" width="0" style="8" hidden="1" customWidth="1"/>
    <col min="10" max="10" width="20.5" style="8" customWidth="1"/>
    <col min="11" max="11" width="19.5" style="8" customWidth="1"/>
    <col min="12" max="16384" width="9" style="8"/>
  </cols>
  <sheetData>
    <row r="1" spans="1:9" s="61" customFormat="1">
      <c r="A1" s="57"/>
      <c r="B1" s="58"/>
      <c r="C1" s="58"/>
      <c r="D1" s="58"/>
      <c r="E1" s="58"/>
      <c r="F1" s="59"/>
      <c r="G1" s="60"/>
      <c r="H1" s="38"/>
    </row>
    <row r="2" spans="1:9" s="61" customFormat="1" ht="15" customHeight="1">
      <c r="A2" s="62" t="s">
        <v>27</v>
      </c>
      <c r="B2" s="121" t="s">
        <v>28</v>
      </c>
      <c r="C2" s="121"/>
      <c r="D2" s="121"/>
      <c r="E2" s="121"/>
      <c r="F2" s="121"/>
      <c r="G2" s="38"/>
      <c r="H2" s="38"/>
      <c r="I2" s="61" t="s">
        <v>29</v>
      </c>
    </row>
    <row r="3" spans="1:9" s="61" customFormat="1" ht="25.5" customHeight="1">
      <c r="A3" s="63" t="s">
        <v>30</v>
      </c>
      <c r="B3" s="121" t="s">
        <v>31</v>
      </c>
      <c r="C3" s="121"/>
      <c r="D3" s="121"/>
      <c r="E3" s="121"/>
      <c r="F3" s="121"/>
      <c r="G3" s="38"/>
      <c r="H3" s="38"/>
      <c r="I3" s="61" t="s">
        <v>32</v>
      </c>
    </row>
    <row r="4" spans="1:9" s="61" customFormat="1" ht="18" customHeight="1">
      <c r="A4" s="62" t="s">
        <v>33</v>
      </c>
      <c r="B4" s="122"/>
      <c r="C4" s="122"/>
      <c r="D4" s="122"/>
      <c r="E4" s="122"/>
      <c r="F4" s="122"/>
      <c r="G4" s="38"/>
      <c r="H4" s="38"/>
      <c r="I4" s="64"/>
    </row>
    <row r="5" spans="1:9" s="61" customFormat="1" ht="19.5" customHeight="1">
      <c r="A5" s="65" t="s">
        <v>29</v>
      </c>
      <c r="B5" s="66" t="s">
        <v>32</v>
      </c>
      <c r="C5" s="66" t="s">
        <v>34</v>
      </c>
      <c r="D5" s="67" t="s">
        <v>35</v>
      </c>
      <c r="E5" s="123" t="s">
        <v>36</v>
      </c>
      <c r="F5" s="123"/>
      <c r="G5" s="68"/>
      <c r="H5" s="68"/>
      <c r="I5" s="61" t="s">
        <v>37</v>
      </c>
    </row>
    <row r="6" spans="1:9" s="61" customFormat="1" ht="15" customHeight="1">
      <c r="A6" s="69">
        <f>COUNTIF(G9:G964,"Pass")</f>
        <v>0</v>
      </c>
      <c r="B6" s="70">
        <f>COUNTIF(G9:G964,"Fail")</f>
        <v>0</v>
      </c>
      <c r="C6" s="70">
        <f>E6-D6-B6-A6</f>
        <v>3</v>
      </c>
      <c r="D6" s="71">
        <f>COUNTIF(G$9:G$964,"N/A")</f>
        <v>0</v>
      </c>
      <c r="E6" s="120">
        <v>3</v>
      </c>
      <c r="F6" s="120"/>
      <c r="G6" s="68"/>
      <c r="H6" s="68"/>
      <c r="I6" s="61" t="s">
        <v>35</v>
      </c>
    </row>
    <row r="7" spans="1:9" s="61" customFormat="1" ht="15" customHeight="1">
      <c r="D7" s="72"/>
      <c r="E7" s="72"/>
      <c r="F7" s="68"/>
      <c r="G7" s="68"/>
      <c r="H7" s="68"/>
    </row>
    <row r="8" spans="1:9" s="61" customFormat="1" ht="25.5" customHeight="1">
      <c r="A8" s="103" t="s">
        <v>38</v>
      </c>
      <c r="B8" s="103" t="s">
        <v>106</v>
      </c>
      <c r="C8" s="103" t="s">
        <v>107</v>
      </c>
      <c r="D8" s="103" t="s">
        <v>108</v>
      </c>
      <c r="E8" s="103" t="s">
        <v>109</v>
      </c>
      <c r="F8" s="104" t="s">
        <v>39</v>
      </c>
    </row>
    <row r="9" spans="1:9" ht="73" customHeight="1">
      <c r="A9" s="110" t="s">
        <v>110</v>
      </c>
      <c r="B9" s="110" t="s">
        <v>104</v>
      </c>
      <c r="C9" s="111" t="s">
        <v>118</v>
      </c>
      <c r="D9" s="111" t="s">
        <v>119</v>
      </c>
      <c r="E9" s="111" t="s">
        <v>120</v>
      </c>
      <c r="F9" s="109"/>
    </row>
    <row r="10" spans="1:9" ht="73" customHeight="1">
      <c r="A10" s="110" t="s">
        <v>111</v>
      </c>
      <c r="B10" s="110" t="s">
        <v>104</v>
      </c>
      <c r="C10" s="111" t="s">
        <v>121</v>
      </c>
      <c r="D10" s="111" t="s">
        <v>122</v>
      </c>
      <c r="E10" s="111" t="s">
        <v>120</v>
      </c>
      <c r="F10" s="109"/>
    </row>
    <row r="11" spans="1:9" ht="73" customHeight="1">
      <c r="A11" s="110" t="s">
        <v>112</v>
      </c>
      <c r="B11" s="110" t="s">
        <v>113</v>
      </c>
      <c r="C11" s="111" t="s">
        <v>134</v>
      </c>
      <c r="D11" s="111" t="s">
        <v>123</v>
      </c>
      <c r="E11" s="111" t="s">
        <v>124</v>
      </c>
      <c r="F11" s="109"/>
    </row>
    <row r="12" spans="1:9" ht="73" customHeight="1"/>
    <row r="13" spans="1:9" ht="73" customHeight="1"/>
    <row r="14" spans="1:9" ht="109" customHeight="1"/>
  </sheetData>
  <mergeCells count="5">
    <mergeCell ref="E6:F6"/>
    <mergeCell ref="B2:F2"/>
    <mergeCell ref="B3:F3"/>
    <mergeCell ref="B4:F4"/>
    <mergeCell ref="E5:F5"/>
  </mergeCells>
  <phoneticPr fontId="0" type="noConversion"/>
  <dataValidations disablePrompts="1" count="1">
    <dataValidation type="list" allowBlank="1" showErrorMessage="1" sqref="F1:F3 F7:F8 F15:F111" xr:uid="{0926D9D0-1AE7-204E-AFDC-71D73AD07237}">
      <formula1>$I$2:$I$6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163C4-5C5E-D449-BB67-F443A6D227A8}">
  <dimension ref="A1:J11"/>
  <sheetViews>
    <sheetView zoomScale="120" zoomScaleNormal="120" workbookViewId="0">
      <pane ySplit="7" topLeftCell="A8" activePane="bottomLeft" state="frozen"/>
      <selection pane="bottomLeft"/>
    </sheetView>
  </sheetViews>
  <sheetFormatPr baseColWidth="10" defaultColWidth="9" defaultRowHeight="13"/>
  <cols>
    <col min="1" max="1" width="14.33203125" style="8" customWidth="1"/>
    <col min="2" max="2" width="40.6640625" style="8" customWidth="1"/>
    <col min="3" max="3" width="19.1640625" style="8" customWidth="1"/>
    <col min="4" max="5" width="36" style="8" customWidth="1"/>
    <col min="6" max="6" width="12.6640625" style="8" customWidth="1"/>
    <col min="7" max="7" width="14.83203125" style="8" customWidth="1"/>
    <col min="8" max="8" width="17.33203125" style="8" customWidth="1"/>
    <col min="9" max="9" width="0" style="8" hidden="1" customWidth="1"/>
    <col min="10" max="10" width="22" style="8" customWidth="1"/>
    <col min="11" max="11" width="15.1640625" style="8" customWidth="1"/>
    <col min="12" max="16384" width="9" style="8"/>
  </cols>
  <sheetData>
    <row r="1" spans="1:10" s="61" customFormat="1" ht="14" thickBot="1">
      <c r="A1" s="57"/>
      <c r="B1" s="58"/>
      <c r="C1" s="58"/>
      <c r="D1" s="58"/>
      <c r="E1" s="58"/>
      <c r="F1" s="59"/>
      <c r="G1" s="60"/>
      <c r="H1" s="38"/>
      <c r="J1" s="38"/>
    </row>
    <row r="2" spans="1:10" s="61" customFormat="1" ht="15" customHeight="1">
      <c r="A2" s="62" t="s">
        <v>27</v>
      </c>
      <c r="B2" s="121" t="s">
        <v>28</v>
      </c>
      <c r="C2" s="121"/>
      <c r="D2" s="121"/>
      <c r="E2" s="121"/>
      <c r="F2" s="121"/>
      <c r="G2" s="38"/>
      <c r="H2" s="38"/>
      <c r="I2" s="61" t="s">
        <v>29</v>
      </c>
      <c r="J2" s="38"/>
    </row>
    <row r="3" spans="1:10" s="61" customFormat="1" ht="25.5" customHeight="1">
      <c r="A3" s="63" t="s">
        <v>30</v>
      </c>
      <c r="B3" s="121" t="s">
        <v>31</v>
      </c>
      <c r="C3" s="121"/>
      <c r="D3" s="121"/>
      <c r="E3" s="121"/>
      <c r="F3" s="121"/>
      <c r="G3" s="38"/>
      <c r="H3" s="38"/>
      <c r="I3" s="61" t="s">
        <v>32</v>
      </c>
      <c r="J3" s="38"/>
    </row>
    <row r="4" spans="1:10" s="61" customFormat="1" ht="18" customHeight="1">
      <c r="A4" s="62" t="s">
        <v>33</v>
      </c>
      <c r="B4" s="122"/>
      <c r="C4" s="122"/>
      <c r="D4" s="122"/>
      <c r="E4" s="122"/>
      <c r="F4" s="122"/>
      <c r="G4" s="38"/>
      <c r="H4" s="38"/>
      <c r="I4" s="64"/>
      <c r="J4" s="38"/>
    </row>
    <row r="5" spans="1:10" s="61" customFormat="1" ht="19.5" customHeight="1">
      <c r="A5" s="65" t="s">
        <v>29</v>
      </c>
      <c r="B5" s="66" t="s">
        <v>32</v>
      </c>
      <c r="C5" s="66" t="s">
        <v>34</v>
      </c>
      <c r="D5" s="67" t="s">
        <v>35</v>
      </c>
      <c r="E5" s="123" t="s">
        <v>36</v>
      </c>
      <c r="F5" s="123"/>
      <c r="G5" s="68"/>
      <c r="H5" s="68"/>
      <c r="I5" s="61" t="s">
        <v>37</v>
      </c>
      <c r="J5" s="68"/>
    </row>
    <row r="6" spans="1:10" s="61" customFormat="1" ht="15" customHeight="1" thickBot="1">
      <c r="A6" s="69">
        <f>COUNTIF(F8:F984,"Pass")</f>
        <v>0</v>
      </c>
      <c r="B6" s="70">
        <f>COUNTIF(F8:F984,"Fail")</f>
        <v>0</v>
      </c>
      <c r="C6" s="70">
        <f>E6-D6-B6-A6</f>
        <v>3</v>
      </c>
      <c r="D6" s="71">
        <f>COUNTIF(F$8:F$984,"N/A")</f>
        <v>0</v>
      </c>
      <c r="E6" s="120">
        <f>ROWS(A9:A11)</f>
        <v>3</v>
      </c>
      <c r="F6" s="120"/>
      <c r="G6" s="68"/>
      <c r="H6" s="68"/>
      <c r="I6" s="61" t="s">
        <v>35</v>
      </c>
      <c r="J6" s="68"/>
    </row>
    <row r="7" spans="1:10" s="61" customFormat="1" ht="15" customHeight="1">
      <c r="D7" s="72"/>
      <c r="E7" s="72"/>
      <c r="F7" s="68"/>
      <c r="G7" s="68"/>
      <c r="H7" s="68"/>
      <c r="J7" s="68"/>
    </row>
    <row r="8" spans="1:10" ht="28">
      <c r="A8" s="103" t="s">
        <v>38</v>
      </c>
      <c r="B8" s="103" t="s">
        <v>106</v>
      </c>
      <c r="C8" s="103" t="s">
        <v>107</v>
      </c>
      <c r="D8" s="103" t="s">
        <v>108</v>
      </c>
      <c r="E8" s="103" t="s">
        <v>109</v>
      </c>
      <c r="F8" s="104" t="s">
        <v>39</v>
      </c>
    </row>
    <row r="9" spans="1:10" ht="54">
      <c r="A9" s="110" t="s">
        <v>114</v>
      </c>
      <c r="B9" s="110" t="s">
        <v>105</v>
      </c>
      <c r="C9" s="111" t="s">
        <v>125</v>
      </c>
      <c r="D9" s="111" t="s">
        <v>126</v>
      </c>
      <c r="E9" s="111" t="s">
        <v>127</v>
      </c>
      <c r="F9" s="109"/>
    </row>
    <row r="10" spans="1:10" ht="54">
      <c r="A10" s="110" t="s">
        <v>115</v>
      </c>
      <c r="B10" s="110" t="s">
        <v>105</v>
      </c>
      <c r="C10" s="111" t="s">
        <v>128</v>
      </c>
      <c r="D10" s="111" t="s">
        <v>129</v>
      </c>
      <c r="E10" s="111" t="s">
        <v>130</v>
      </c>
      <c r="F10" s="109"/>
    </row>
    <row r="11" spans="1:10" ht="54">
      <c r="A11" s="110" t="s">
        <v>116</v>
      </c>
      <c r="B11" s="110" t="s">
        <v>117</v>
      </c>
      <c r="C11" s="111" t="s">
        <v>131</v>
      </c>
      <c r="D11" s="111" t="s">
        <v>132</v>
      </c>
      <c r="E11" s="111" t="s">
        <v>133</v>
      </c>
      <c r="F11" s="109"/>
    </row>
  </sheetData>
  <mergeCells count="5">
    <mergeCell ref="B2:F2"/>
    <mergeCell ref="B3:F3"/>
    <mergeCell ref="B4:F4"/>
    <mergeCell ref="E5:F5"/>
    <mergeCell ref="E6:F6"/>
  </mergeCells>
  <phoneticPr fontId="20" type="noConversion"/>
  <dataValidations count="1">
    <dataValidation type="list" allowBlank="1" showErrorMessage="1" sqref="F1:F3 F12:F126 F7:F8" xr:uid="{7406C162-9956-9F49-A04A-E6797D53F35A}">
      <formula1>$I$2:$I$6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9DE56-4F34-3847-9DE3-3FE1ACFF2F2A}">
  <dimension ref="A1:E14"/>
  <sheetViews>
    <sheetView showGridLines="0" workbookViewId="0">
      <selection activeCell="D15" sqref="D15"/>
    </sheetView>
  </sheetViews>
  <sheetFormatPr baseColWidth="10" defaultRowHeight="14"/>
  <cols>
    <col min="1" max="1" width="22.6640625" customWidth="1"/>
    <col min="2" max="2" width="22.83203125" customWidth="1"/>
    <col min="3" max="3" width="43.83203125" customWidth="1"/>
    <col min="4" max="4" width="70.1640625" customWidth="1"/>
    <col min="5" max="5" width="28.6640625" customWidth="1"/>
    <col min="6" max="6" width="33.5" customWidth="1"/>
    <col min="7" max="7" width="28.5" customWidth="1"/>
    <col min="8" max="8" width="33.83203125" customWidth="1"/>
  </cols>
  <sheetData>
    <row r="1" spans="1:5" ht="18">
      <c r="A1" s="108" t="s">
        <v>101</v>
      </c>
      <c r="B1" s="105" t="s">
        <v>75</v>
      </c>
      <c r="C1" s="105" t="s">
        <v>23</v>
      </c>
      <c r="D1" s="105" t="s">
        <v>76</v>
      </c>
      <c r="E1" s="105" t="s">
        <v>77</v>
      </c>
    </row>
    <row r="2" spans="1:5" ht="18">
      <c r="A2" s="124" t="s">
        <v>102</v>
      </c>
      <c r="B2" s="106" t="s">
        <v>51</v>
      </c>
      <c r="C2" s="106" t="s">
        <v>78</v>
      </c>
      <c r="D2" s="106" t="s">
        <v>100</v>
      </c>
      <c r="E2" s="106" t="s">
        <v>62</v>
      </c>
    </row>
    <row r="3" spans="1:5" ht="18">
      <c r="A3" s="124"/>
      <c r="B3" s="106" t="s">
        <v>52</v>
      </c>
      <c r="C3" s="106" t="s">
        <v>78</v>
      </c>
      <c r="D3" s="106" t="s">
        <v>100</v>
      </c>
      <c r="E3" s="106" t="s">
        <v>63</v>
      </c>
    </row>
    <row r="4" spans="1:5" ht="18">
      <c r="A4" s="124"/>
      <c r="B4" s="106" t="s">
        <v>53</v>
      </c>
      <c r="C4" s="106" t="s">
        <v>78</v>
      </c>
      <c r="D4" s="106" t="s">
        <v>100</v>
      </c>
      <c r="E4" s="106" t="s">
        <v>64</v>
      </c>
    </row>
    <row r="5" spans="1:5" ht="19">
      <c r="A5" s="124"/>
      <c r="B5" s="106" t="s">
        <v>54</v>
      </c>
      <c r="C5" s="106" t="s">
        <v>79</v>
      </c>
      <c r="D5" s="107" t="s">
        <v>98</v>
      </c>
      <c r="E5" s="106" t="s">
        <v>65</v>
      </c>
    </row>
    <row r="6" spans="1:5" ht="18">
      <c r="A6" s="124"/>
      <c r="B6" s="106" t="s">
        <v>55</v>
      </c>
      <c r="C6" s="106" t="s">
        <v>80</v>
      </c>
      <c r="D6" s="106" t="s">
        <v>92</v>
      </c>
      <c r="E6" s="106" t="s">
        <v>66</v>
      </c>
    </row>
    <row r="7" spans="1:5" ht="18">
      <c r="A7" s="124"/>
      <c r="B7" s="106" t="s">
        <v>56</v>
      </c>
      <c r="C7" s="106" t="s">
        <v>81</v>
      </c>
      <c r="D7" s="106" t="s">
        <v>99</v>
      </c>
      <c r="E7" s="106" t="s">
        <v>67</v>
      </c>
    </row>
    <row r="8" spans="1:5" ht="18">
      <c r="A8" s="124"/>
      <c r="B8" s="106" t="s">
        <v>57</v>
      </c>
      <c r="C8" s="106" t="s">
        <v>82</v>
      </c>
      <c r="D8" s="106" t="s">
        <v>97</v>
      </c>
      <c r="E8" s="106" t="s">
        <v>68</v>
      </c>
    </row>
    <row r="9" spans="1:5" ht="18">
      <c r="A9" s="124" t="s">
        <v>103</v>
      </c>
      <c r="B9" s="106" t="s">
        <v>58</v>
      </c>
      <c r="C9" s="106" t="s">
        <v>83</v>
      </c>
      <c r="D9" s="106" t="s">
        <v>93</v>
      </c>
      <c r="E9" s="106" t="s">
        <v>69</v>
      </c>
    </row>
    <row r="10" spans="1:5" ht="18">
      <c r="A10" s="124"/>
      <c r="B10" s="106" t="s">
        <v>59</v>
      </c>
      <c r="C10" s="106" t="s">
        <v>84</v>
      </c>
      <c r="D10" s="106" t="s">
        <v>94</v>
      </c>
      <c r="E10" s="106" t="s">
        <v>70</v>
      </c>
    </row>
    <row r="11" spans="1:5" ht="19">
      <c r="A11" s="124"/>
      <c r="B11" s="106" t="s">
        <v>60</v>
      </c>
      <c r="C11" s="106" t="s">
        <v>85</v>
      </c>
      <c r="D11" s="107" t="s">
        <v>98</v>
      </c>
      <c r="E11" s="106" t="s">
        <v>71</v>
      </c>
    </row>
    <row r="12" spans="1:5" ht="18">
      <c r="A12" s="124"/>
      <c r="B12" s="106" t="s">
        <v>61</v>
      </c>
      <c r="C12" s="106" t="s">
        <v>86</v>
      </c>
      <c r="D12" s="106" t="s">
        <v>95</v>
      </c>
      <c r="E12" s="106" t="s">
        <v>72</v>
      </c>
    </row>
    <row r="13" spans="1:5" ht="18">
      <c r="A13" s="124"/>
      <c r="B13" s="106" t="s">
        <v>87</v>
      </c>
      <c r="C13" s="106" t="s">
        <v>88</v>
      </c>
      <c r="D13" s="106" t="s">
        <v>96</v>
      </c>
      <c r="E13" s="106" t="s">
        <v>73</v>
      </c>
    </row>
    <row r="14" spans="1:5" ht="18">
      <c r="A14" s="124"/>
      <c r="B14" s="106" t="s">
        <v>89</v>
      </c>
      <c r="C14" s="106" t="s">
        <v>90</v>
      </c>
      <c r="D14" s="106" t="s">
        <v>91</v>
      </c>
      <c r="E14" s="106" t="s">
        <v>74</v>
      </c>
    </row>
  </sheetData>
  <mergeCells count="2">
    <mergeCell ref="A2:A8"/>
    <mergeCell ref="A9:A14"/>
  </mergeCells>
  <phoneticPr fontId="2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36199-8AF6-B940-8B43-002AEC695EDA}">
  <dimension ref="A1:H17"/>
  <sheetViews>
    <sheetView workbookViewId="0">
      <selection activeCell="D12" sqref="D12"/>
    </sheetView>
  </sheetViews>
  <sheetFormatPr baseColWidth="10" defaultColWidth="9" defaultRowHeight="13"/>
  <cols>
    <col min="1" max="1" width="9" style="8"/>
    <col min="2" max="2" width="13.5" style="8" customWidth="1"/>
    <col min="3" max="3" width="19.33203125" style="8" customWidth="1"/>
    <col min="4" max="7" width="9" style="8"/>
    <col min="8" max="9" width="33.1640625" style="8" customWidth="1"/>
    <col min="10" max="16384" width="9" style="8"/>
  </cols>
  <sheetData>
    <row r="1" spans="1:8" ht="25.5" customHeight="1">
      <c r="B1" s="127" t="s">
        <v>40</v>
      </c>
      <c r="C1" s="127"/>
      <c r="D1" s="127"/>
      <c r="E1" s="127"/>
      <c r="F1" s="127"/>
      <c r="G1" s="127"/>
      <c r="H1" s="127"/>
    </row>
    <row r="2" spans="1:8" ht="14.25" customHeight="1">
      <c r="A2" s="73"/>
      <c r="B2" s="73"/>
      <c r="C2" s="74"/>
      <c r="D2" s="74"/>
      <c r="E2" s="74"/>
      <c r="F2" s="74"/>
      <c r="G2" s="74"/>
      <c r="H2" s="75"/>
    </row>
    <row r="3" spans="1:8" ht="12" customHeight="1">
      <c r="B3" s="11" t="s">
        <v>1</v>
      </c>
      <c r="C3" s="119" t="s">
        <v>2</v>
      </c>
      <c r="D3" s="119"/>
      <c r="E3" s="125" t="s">
        <v>3</v>
      </c>
      <c r="F3" s="125"/>
      <c r="G3" s="76"/>
      <c r="H3" s="77"/>
    </row>
    <row r="4" spans="1:8" ht="12" customHeight="1">
      <c r="B4" s="11" t="s">
        <v>4</v>
      </c>
      <c r="C4" s="119" t="s">
        <v>5</v>
      </c>
      <c r="D4" s="119"/>
      <c r="E4" s="125" t="s">
        <v>6</v>
      </c>
      <c r="F4" s="125"/>
      <c r="G4" s="76"/>
      <c r="H4" s="77"/>
    </row>
    <row r="5" spans="1:8" ht="12" customHeight="1">
      <c r="B5" s="78" t="s">
        <v>7</v>
      </c>
      <c r="C5" s="119" t="str">
        <f>C4&amp;"_"&amp;"Test Report"&amp;"_"&amp;"vx.x"</f>
        <v>&lt;Project Code&gt;_Test Report_vx.x</v>
      </c>
      <c r="D5" s="119"/>
      <c r="E5" s="125" t="s">
        <v>8</v>
      </c>
      <c r="F5" s="125"/>
      <c r="G5" s="76"/>
      <c r="H5" s="79" t="s">
        <v>41</v>
      </c>
    </row>
    <row r="6" spans="1:8" ht="21.75" customHeight="1">
      <c r="A6" s="73"/>
      <c r="B6" s="78" t="s">
        <v>42</v>
      </c>
      <c r="C6" s="126" t="s">
        <v>43</v>
      </c>
      <c r="D6" s="126"/>
      <c r="E6" s="126"/>
      <c r="F6" s="126"/>
      <c r="G6" s="126"/>
      <c r="H6" s="126"/>
    </row>
    <row r="7" spans="1:8" ht="14.25" customHeight="1">
      <c r="A7" s="73"/>
      <c r="B7" s="13"/>
      <c r="C7" s="80"/>
      <c r="D7" s="74"/>
      <c r="E7" s="74"/>
      <c r="F7" s="74"/>
      <c r="G7" s="74"/>
      <c r="H7" s="75"/>
    </row>
    <row r="8" spans="1:8">
      <c r="B8" s="13"/>
      <c r="C8" s="80"/>
      <c r="D8" s="74"/>
      <c r="E8" s="74"/>
      <c r="F8" s="74"/>
      <c r="G8" s="74"/>
      <c r="H8" s="75"/>
    </row>
    <row r="10" spans="1:8" ht="14">
      <c r="A10" s="81"/>
      <c r="B10" s="82" t="s">
        <v>20</v>
      </c>
      <c r="C10" s="83" t="s">
        <v>44</v>
      </c>
      <c r="D10" s="84" t="s">
        <v>29</v>
      </c>
      <c r="E10" s="83" t="s">
        <v>32</v>
      </c>
      <c r="F10" s="83" t="s">
        <v>34</v>
      </c>
      <c r="G10" s="85" t="s">
        <v>35</v>
      </c>
      <c r="H10" s="86" t="s">
        <v>45</v>
      </c>
    </row>
    <row r="11" spans="1:8">
      <c r="A11" s="81"/>
      <c r="B11" s="87">
        <v>1</v>
      </c>
      <c r="C11" s="88" t="str">
        <f>Module1!B2</f>
        <v xml:space="preserve">Module1 </v>
      </c>
      <c r="D11" s="89">
        <f>Module1!A6</f>
        <v>0</v>
      </c>
      <c r="E11" s="89">
        <f>Module1!B6</f>
        <v>0</v>
      </c>
      <c r="F11" s="89">
        <f>Module1!C6</f>
        <v>3</v>
      </c>
      <c r="G11" s="90">
        <f>Module1!D6</f>
        <v>0</v>
      </c>
      <c r="H11" s="91">
        <f>Module1!E6</f>
        <v>3</v>
      </c>
    </row>
    <row r="12" spans="1:8">
      <c r="A12" s="81"/>
      <c r="B12" s="87">
        <v>2</v>
      </c>
      <c r="C12" s="88" t="s">
        <v>26</v>
      </c>
      <c r="D12" s="89">
        <f>Module2!A6</f>
        <v>0</v>
      </c>
      <c r="E12" s="89">
        <f>Module2!B6</f>
        <v>0</v>
      </c>
      <c r="F12" s="89">
        <f>Module2!C6</f>
        <v>3</v>
      </c>
      <c r="G12" s="89">
        <f>Module2!D6</f>
        <v>0</v>
      </c>
      <c r="H12" s="89">
        <f>Module2!E6</f>
        <v>3</v>
      </c>
    </row>
    <row r="13" spans="1:8">
      <c r="A13" s="81"/>
      <c r="B13" s="87"/>
      <c r="C13" s="88"/>
      <c r="D13" s="89"/>
      <c r="E13" s="89"/>
      <c r="F13" s="89"/>
      <c r="G13" s="90"/>
      <c r="H13" s="91"/>
    </row>
    <row r="14" spans="1:8">
      <c r="A14" s="81"/>
      <c r="B14" s="92"/>
      <c r="C14" s="93" t="s">
        <v>46</v>
      </c>
      <c r="D14" s="94">
        <f>SUM(D9:D13)</f>
        <v>0</v>
      </c>
      <c r="E14" s="94">
        <f>SUM(E9:E13)</f>
        <v>0</v>
      </c>
      <c r="F14" s="94">
        <f>SUM(F9:F13)</f>
        <v>6</v>
      </c>
      <c r="G14" s="94">
        <f>SUM(G9:G13)</f>
        <v>0</v>
      </c>
      <c r="H14" s="95">
        <f>SUM(H9:H13)</f>
        <v>6</v>
      </c>
    </row>
    <row r="15" spans="1:8">
      <c r="B15" s="96"/>
      <c r="D15" s="97"/>
      <c r="E15" s="98"/>
      <c r="F15" s="98"/>
      <c r="G15" s="98"/>
      <c r="H15" s="98"/>
    </row>
    <row r="16" spans="1:8">
      <c r="C16" s="99" t="s">
        <v>47</v>
      </c>
      <c r="E16" s="100">
        <f>(D14+E14)*100/(H14-G14)</f>
        <v>0</v>
      </c>
      <c r="F16" s="8" t="s">
        <v>48</v>
      </c>
      <c r="H16" s="72"/>
    </row>
    <row r="17" spans="3:8">
      <c r="C17" s="99" t="s">
        <v>49</v>
      </c>
      <c r="E17" s="100">
        <f>D14*100/(H14-G14)</f>
        <v>0</v>
      </c>
      <c r="F17" s="8" t="s">
        <v>48</v>
      </c>
      <c r="H17" s="72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honeticPr fontId="0" type="noConversion"/>
  <pageMargins left="0.74791666666666667" right="0.74791666666666667" top="0.98402777777777783" bottom="0.98402777777777772" header="0.51180555555555562" footer="0.5"/>
  <pageSetup firstPageNumber="0" orientation="landscape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A2A741C5885C41AB9A358CCBEA8A85" ma:contentTypeVersion="4" ma:contentTypeDescription="Create a new document." ma:contentTypeScope="" ma:versionID="b08c537a49adf1f0264621696145d4e8">
  <xsd:schema xmlns:xsd="http://www.w3.org/2001/XMLSchema" xmlns:p="http://schemas.microsoft.com/office/2006/metadata/properties" xmlns:ns1="http://schemas.microsoft.com/sharepoint/v3" xmlns:ns2="41A7A25E-88C5-415C-AB9A-358CCBEA8A85" xmlns:ns3="cd6d2771-e08b-42a3-90f8-eca630337659" targetNamespace="http://schemas.microsoft.com/office/2006/metadata/properties" ma:root="true" ma:fieldsID="79edc66073723f43766a972d30b274e4" ns1:_="" ns2:_="" ns3:_="">
    <xsd:import namespace="http://schemas.microsoft.com/sharepoint/v3"/>
    <xsd:import namespace="41A7A25E-88C5-415C-AB9A-358CCBEA8A85"/>
    <xsd:import namespace="cd6d2771-e08b-42a3-90f8-eca630337659"/>
    <xsd:element name="properties">
      <xsd:complexType>
        <xsd:sequence>
          <xsd:element name="documentManagement">
            <xsd:complexType>
              <xsd:all>
                <xsd:element ref="ns1:_ModerationComments" minOccurs="0"/>
                <xsd:element ref="ns1:File_x0020_Type" minOccurs="0"/>
                <xsd:element ref="ns1:HTML_x0020_File_x0020_Type" minOccurs="0"/>
                <xsd:element ref="ns1:_SourceUrl" minOccurs="0"/>
                <xsd:element ref="ns1:_SharedFileIndex" minOccurs="0"/>
                <xsd:element ref="ns2:Priority" minOccurs="0"/>
                <xsd:element ref="ns1:ContentTypeId" minOccurs="0"/>
                <xsd:element ref="ns1:TemplateUrl" minOccurs="0"/>
                <xsd:element ref="ns1:xd_ProgID" minOccurs="0"/>
                <xsd:element ref="ns1:xd_Signature" minOccurs="0"/>
                <xsd:element ref="ns3:Number_x0020_Of_x0020_Viewer" minOccurs="0"/>
                <xsd:element ref="ns1:ID" minOccurs="0"/>
                <xsd:element ref="ns1:Author" minOccurs="0"/>
                <xsd:element ref="ns1:Editor" minOccurs="0"/>
                <xsd:element ref="ns1:_HasCopyDestinations" minOccurs="0"/>
                <xsd:element ref="ns1:_CopySource" minOccurs="0"/>
                <xsd:element ref="ns1:_ModerationStatus" minOccurs="0"/>
                <xsd:element ref="ns1:FileRef" minOccurs="0"/>
                <xsd:element ref="ns1:FileDirRef" minOccurs="0"/>
                <xsd:element ref="ns1:Last_x0020_Modified" minOccurs="0"/>
                <xsd:element ref="ns1:Created_x0020_Date" minOccurs="0"/>
                <xsd:element ref="ns1:File_x0020_Size" minOccurs="0"/>
                <xsd:element ref="ns1:FSObjType" minOccurs="0"/>
                <xsd:element ref="ns1:CheckedOutUserId" minOccurs="0"/>
                <xsd:element ref="ns1:IsCheckedoutToLocal" minOccurs="0"/>
                <xsd:element ref="ns1:CheckoutUser" minOccurs="0"/>
                <xsd:element ref="ns1:UniqueId" minOccurs="0"/>
                <xsd:element ref="ns1:ProgId" minOccurs="0"/>
                <xsd:element ref="ns1:ScopeId" minOccurs="0"/>
                <xsd:element ref="ns1:VirusStatus" minOccurs="0"/>
                <xsd:element ref="ns1:CheckedOutTitle" minOccurs="0"/>
                <xsd:element ref="ns1:_CheckinComment" minOccurs="0"/>
                <xsd:element ref="ns1:MetaInfo" minOccurs="0"/>
                <xsd:element ref="ns1:_Level" minOccurs="0"/>
                <xsd:element ref="ns1:_IsCurrentVersion" minOccurs="0"/>
                <xsd:element ref="ns1:owshiddenversion" minOccurs="0"/>
                <xsd:element ref="ns1:_UIVersion" minOccurs="0"/>
                <xsd:element ref="ns1:_UIVersionString" minOccurs="0"/>
                <xsd:element ref="ns1:InstanceID" minOccurs="0"/>
                <xsd:element ref="ns1:Order" minOccurs="0"/>
                <xsd:element ref="ns1:GUID" minOccurs="0"/>
                <xsd:element ref="ns1:WorkflowVersion" minOccurs="0"/>
                <xsd:element ref="ns1:WorkflowInstanceID" minOccurs="0"/>
                <xsd:element ref="ns1:ParentVersionString" minOccurs="0"/>
                <xsd:element ref="ns1:ParentLeafNam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http://schemas.microsoft.com/sharepoint/v3" elementFormDefault="qualified">
    <xsd:import namespace="http://schemas.microsoft.com/office/2006/documentManagement/types"/>
    <xsd:element name="_ModerationComments" ma:index="0" nillable="true" ma:displayName="Approver Comments" ma:hidden="true" ma:internalName="_ModerationComments" ma:readOnly="true">
      <xsd:simpleType>
        <xsd:restriction base="dms:Note"/>
      </xsd:simpleType>
    </xsd:element>
    <xsd:element name="File_x0020_Type" ma:index="4" nillable="true" ma:displayName="File Type" ma:hidden="true" ma:internalName="File_x0020_Type" ma:readOnly="true">
      <xsd:simpleType>
        <xsd:restriction base="dms:Text"/>
      </xsd:simpleType>
    </xsd:element>
    <xsd:element name="HTML_x0020_File_x0020_Type" ma:index="5" nillable="true" ma:displayName="HTML File Type" ma:hidden="true" ma:internalName="HTML_x0020_File_x0020_Type" ma:readOnly="true">
      <xsd:simpleType>
        <xsd:restriction base="dms:Text"/>
      </xsd:simpleType>
    </xsd:element>
    <xsd:element name="_SourceUrl" ma:index="6" nillable="true" ma:displayName="Source Url" ma:hidden="true" ma:internalName="_SourceUrl">
      <xsd:simpleType>
        <xsd:restriction base="dms:Text"/>
      </xsd:simpleType>
    </xsd:element>
    <xsd:element name="_SharedFileIndex" ma:index="7" nillable="true" ma:displayName="Shared File Index" ma:hidden="true" ma:internalName="_SharedFileIndex">
      <xsd:simpleType>
        <xsd:restriction base="dms:Text"/>
      </xsd:simpleType>
    </xsd:element>
    <xsd:element name="ContentTypeId" ma:index="10" nillable="true" ma:displayName="Content Type ID" ma:hidden="true" ma:internalName="ContentTypeId" ma:readOnly="true">
      <xsd:simpleType>
        <xsd:restriction base="dms:Unknown"/>
      </xsd:simpleType>
    </xsd:element>
    <xsd:element name="TemplateUrl" ma:index="11" nillable="true" ma:displayName="Template Link" ma:hidden="true" ma:internalName="TemplateUrl">
      <xsd:simpleType>
        <xsd:restriction base="dms:Text"/>
      </xsd:simpleType>
    </xsd:element>
    <xsd:element name="xd_ProgID" ma:index="12" nillable="true" ma:displayName="Html File Link" ma:hidden="true" ma:internalName="xd_ProgID">
      <xsd:simpleType>
        <xsd:restriction base="dms:Text"/>
      </xsd:simpleType>
    </xsd:element>
    <xsd:element name="xd_Signature" ma:index="13" nillable="true" ma:displayName="Is Signed" ma:hidden="true" ma:internalName="xd_Signature" ma:readOnly="true">
      <xsd:simpleType>
        <xsd:restriction base="dms:Boolean"/>
      </xsd:simpleType>
    </xsd:element>
    <xsd:element name="ID" ma:index="15" nillable="true" ma:displayName="ID" ma:internalName="ID" ma:readOnly="true">
      <xsd:simpleType>
        <xsd:restriction base="dms:Unknown"/>
      </xsd:simpleType>
    </xsd:element>
    <xsd:element name="Author" ma:index="18" nillable="true" ma:displayName="Created By" ma:list="UserInfo" ma:internalName="Auth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" ma:index="20" nillable="true" ma:displayName="Modified By" ma:list="UserInfo" ma:internalName="Edit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HasCopyDestinations" ma:index="21" nillable="true" ma:displayName="Has Copy Destinations" ma:hidden="true" ma:internalName="_HasCopyDestinations" ma:readOnly="true">
      <xsd:simpleType>
        <xsd:restriction base="dms:Boolean"/>
      </xsd:simpleType>
    </xsd:element>
    <xsd:element name="_CopySource" ma:index="22" nillable="true" ma:displayName="Copy Source" ma:internalName="_CopySource" ma:readOnly="true">
      <xsd:simpleType>
        <xsd:restriction base="dms:Text"/>
      </xsd:simpleType>
    </xsd:element>
    <xsd:element name="_ModerationStatus" ma:index="23" nillable="true" ma:displayName="Approval Status" ma:default="0" ma:hidden="true" ma:internalName="_ModerationStatus" ma:readOnly="true">
      <xsd:simpleType>
        <xsd:restriction base="dms:Unknown"/>
      </xsd:simpleType>
    </xsd:element>
    <xsd:element name="FileRef" ma:index="24" nillable="true" ma:displayName="URL Path" ma:hidden="true" ma:list="Docs" ma:internalName="FileRef" ma:readOnly="true" ma:showField="FullUrl">
      <xsd:simpleType>
        <xsd:restriction base="dms:Lookup"/>
      </xsd:simpleType>
    </xsd:element>
    <xsd:element name="FileDirRef" ma:index="25" nillable="true" ma:displayName="Path" ma:hidden="true" ma:list="Docs" ma:internalName="FileDirRef" ma:readOnly="true" ma:showField="DirName">
      <xsd:simpleType>
        <xsd:restriction base="dms:Lookup"/>
      </xsd:simpleType>
    </xsd:element>
    <xsd:element name="Last_x0020_Modified" ma:index="26" nillable="true" ma:displayName="Modified" ma:format="TRUE" ma:hidden="true" ma:list="Docs" ma:internalName="Last_x0020_Modified" ma:readOnly="true" ma:showField="TimeLastModified">
      <xsd:simpleType>
        <xsd:restriction base="dms:Lookup"/>
      </xsd:simpleType>
    </xsd:element>
    <xsd:element name="Created_x0020_Date" ma:index="27" nillable="true" ma:displayName="Created" ma:format="TRUE" ma:hidden="true" ma:list="Docs" ma:internalName="Created_x0020_Date" ma:readOnly="true" ma:showField="TimeCreated">
      <xsd:simpleType>
        <xsd:restriction base="dms:Lookup"/>
      </xsd:simpleType>
    </xsd:element>
    <xsd:element name="File_x0020_Size" ma:index="28" nillable="true" ma:displayName="File Size" ma:format="TRUE" ma:hidden="true" ma:list="Docs" ma:internalName="File_x0020_Size" ma:readOnly="true" ma:showField="SizeInKB">
      <xsd:simpleType>
        <xsd:restriction base="dms:Lookup"/>
      </xsd:simpleType>
    </xsd:element>
    <xsd:element name="FSObjType" ma:index="29" nillable="true" ma:displayName="Item Type" ma:hidden="true" ma:list="Docs" ma:internalName="FSObjType" ma:readOnly="true" ma:showField="FSType">
      <xsd:simpleType>
        <xsd:restriction base="dms:Lookup"/>
      </xsd:simpleType>
    </xsd:element>
    <xsd:element name="CheckedOutUserId" ma:index="31" nillable="true" ma:displayName="ID of the User who has the item Checked Out" ma:hidden="true" ma:list="Docs" ma:internalName="CheckedOutUserId" ma:readOnly="true" ma:showField="CheckoutUserId">
      <xsd:simpleType>
        <xsd:restriction base="dms:Lookup"/>
      </xsd:simpleType>
    </xsd:element>
    <xsd:element name="IsCheckedoutToLocal" ma:index="32" nillable="true" ma:displayName="Is Checked out to local" ma:hidden="true" ma:list="Docs" ma:internalName="IsCheckedoutToLocal" ma:readOnly="true" ma:showField="IsCheckoutToLocal">
      <xsd:simpleType>
        <xsd:restriction base="dms:Lookup"/>
      </xsd:simpleType>
    </xsd:element>
    <xsd:element name="CheckoutUser" ma:index="33" nillable="true" ma:displayName="Checked Out To" ma:list="UserInfo" ma:internalName="CheckoutUse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UniqueId" ma:index="34" nillable="true" ma:displayName="Unique Id" ma:hidden="true" ma:list="Docs" ma:internalName="UniqueId" ma:readOnly="true" ma:showField="UniqueId">
      <xsd:simpleType>
        <xsd:restriction base="dms:Lookup"/>
      </xsd:simpleType>
    </xsd:element>
    <xsd:element name="ProgId" ma:index="35" nillable="true" ma:displayName="ProgId" ma:hidden="true" ma:list="Docs" ma:internalName="ProgId" ma:readOnly="true" ma:showField="ProgId">
      <xsd:simpleType>
        <xsd:restriction base="dms:Lookup"/>
      </xsd:simpleType>
    </xsd:element>
    <xsd:element name="ScopeId" ma:index="36" nillable="true" ma:displayName="ScopeId" ma:hidden="true" ma:list="Docs" ma:internalName="ScopeId" ma:readOnly="true" ma:showField="ScopeId">
      <xsd:simpleType>
        <xsd:restriction base="dms:Lookup"/>
      </xsd:simpleType>
    </xsd:element>
    <xsd:element name="VirusStatus" ma:index="37" nillable="true" ma:displayName="Virus Status" ma:format="TRUE" ma:hidden="true" ma:list="Docs" ma:internalName="VirusStatus" ma:readOnly="true" ma:showField="Size">
      <xsd:simpleType>
        <xsd:restriction base="dms:Lookup"/>
      </xsd:simpleType>
    </xsd:element>
    <xsd:element name="CheckedOutTitle" ma:index="38" nillable="true" ma:displayName="Checked Out To" ma:format="TRUE" ma:hidden="true" ma:list="Docs" ma:internalName="CheckedOutTitle" ma:readOnly="true" ma:showField="CheckedOutTitle">
      <xsd:simpleType>
        <xsd:restriction base="dms:Lookup"/>
      </xsd:simpleType>
    </xsd:element>
    <xsd:element name="_CheckinComment" ma:index="39" nillable="true" ma:displayName="Check In Comment" ma:format="TRUE" ma:list="Docs" ma:internalName="_CheckinComment" ma:readOnly="true" ma:showField="CheckinComment">
      <xsd:simpleType>
        <xsd:restriction base="dms:Lookup"/>
      </xsd:simpleType>
    </xsd:element>
    <xsd:element name="MetaInfo" ma:index="50" nillable="true" ma:displayName="Property Bag" ma:hidden="true" ma:list="Docs" ma:internalName="MetaInfo" ma:showField="MetaInfo">
      <xsd:simpleType>
        <xsd:restriction base="dms:Lookup"/>
      </xsd:simpleType>
    </xsd:element>
    <xsd:element name="_Level" ma:index="51" nillable="true" ma:displayName="Level" ma:hidden="true" ma:internalName="_Level" ma:readOnly="true">
      <xsd:simpleType>
        <xsd:restriction base="dms:Unknown"/>
      </xsd:simpleType>
    </xsd:element>
    <xsd:element name="_IsCurrentVersion" ma:index="52" nillable="true" ma:displayName="Is Current Version" ma:hidden="true" ma:internalName="_IsCurrentVersion" ma:readOnly="true">
      <xsd:simpleType>
        <xsd:restriction base="dms:Boolean"/>
      </xsd:simpleType>
    </xsd:element>
    <xsd:element name="owshiddenversion" ma:index="56" nillable="true" ma:displayName="owshiddenversion" ma:hidden="true" ma:internalName="owshiddenversion" ma:readOnly="true">
      <xsd:simpleType>
        <xsd:restriction base="dms:Unknown"/>
      </xsd:simpleType>
    </xsd:element>
    <xsd:element name="_UIVersion" ma:index="57" nillable="true" ma:displayName="UI Version" ma:hidden="true" ma:internalName="_UIVersion" ma:readOnly="true">
      <xsd:simpleType>
        <xsd:restriction base="dms:Unknown"/>
      </xsd:simpleType>
    </xsd:element>
    <xsd:element name="_UIVersionString" ma:index="58" nillable="true" ma:displayName="Version" ma:internalName="_UIVersionString" ma:readOnly="true">
      <xsd:simpleType>
        <xsd:restriction base="dms:Text"/>
      </xsd:simpleType>
    </xsd:element>
    <xsd:element name="InstanceID" ma:index="59" nillable="true" ma:displayName="Instance ID" ma:hidden="true" ma:internalName="InstanceID" ma:readOnly="true">
      <xsd:simpleType>
        <xsd:restriction base="dms:Unknown"/>
      </xsd:simpleType>
    </xsd:element>
    <xsd:element name="Order" ma:index="60" nillable="true" ma:displayName="Order" ma:hidden="true" ma:internalName="Order">
      <xsd:simpleType>
        <xsd:restriction base="dms:Number"/>
      </xsd:simpleType>
    </xsd:element>
    <xsd:element name="GUID" ma:index="61" nillable="true" ma:displayName="GUID" ma:hidden="true" ma:internalName="GUID" ma:readOnly="true">
      <xsd:simpleType>
        <xsd:restriction base="dms:Unknown"/>
      </xsd:simpleType>
    </xsd:element>
    <xsd:element name="WorkflowVersion" ma:index="62" nillable="true" ma:displayName="Workflow Version" ma:hidden="true" ma:internalName="WorkflowVersion" ma:readOnly="true">
      <xsd:simpleType>
        <xsd:restriction base="dms:Unknown"/>
      </xsd:simpleType>
    </xsd:element>
    <xsd:element name="WorkflowInstanceID" ma:index="63" nillable="true" ma:displayName="Workflow Instance ID" ma:hidden="true" ma:internalName="WorkflowInstanceID" ma:readOnly="true">
      <xsd:simpleType>
        <xsd:restriction base="dms:Unknown"/>
      </xsd:simpleType>
    </xsd:element>
    <xsd:element name="ParentVersionString" ma:index="64" nillable="true" ma:displayName="Source Version (Converted Document)" ma:hidden="true" ma:list="Docs" ma:internalName="ParentVersionString" ma:readOnly="true" ma:showField="ParentVersionString">
      <xsd:simpleType>
        <xsd:restriction base="dms:Lookup"/>
      </xsd:simpleType>
    </xsd:element>
    <xsd:element name="ParentLeafName" ma:index="65" nillable="true" ma:displayName="Source Name (Converted Document)" ma:hidden="true" ma:list="Docs" ma:internalName="ParentLeafName" ma:readOnly="true" ma:showField="ParentLeafName">
      <xsd:simpleType>
        <xsd:restriction base="dms:Lookup"/>
      </xsd:simpleType>
    </xsd:element>
  </xsd:schema>
  <xsd:schema xmlns:xsd="http://www.w3.org/2001/XMLSchema" xmlns:dms="http://schemas.microsoft.com/office/2006/documentManagement/types" targetNamespace="41A7A25E-88C5-415C-AB9A-358CCBEA8A85" elementFormDefault="qualified">
    <xsd:import namespace="http://schemas.microsoft.com/office/2006/documentManagement/types"/>
    <xsd:element name="Priority" ma:index="9" nillable="true" ma:displayName="Priority" ma:internalName="Priority">
      <xsd:simpleType>
        <xsd:restriction base="dms:Number"/>
      </xsd:simpleType>
    </xsd:element>
  </xsd:schema>
  <xsd:schema xmlns:xsd="http://www.w3.org/2001/XMLSchema" xmlns:dms="http://schemas.microsoft.com/office/2006/documentManagement/types" targetNamespace="cd6d2771-e08b-42a3-90f8-eca630337659" elementFormDefault="qualified">
    <xsd:import namespace="http://schemas.microsoft.com/office/2006/documentManagement/types"/>
    <xsd:element name="Number_x0020_Of_x0020_Viewer" ma:index="14" nillable="true" ma:displayName="Number Of Viewer" ma:default="0" ma:internalName="Number_x0020_Of_x0020_Viewer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6" ma:displayName="Content Type" ma:readOnly="true"/>
        <xsd:element ref="dc:title" minOccurs="0" maxOccurs="1" ma:index="8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CAE63D-5380-40ED-A43E-1567E1C2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1A7A25E-88C5-415C-AB9A-358CCBEA8A85"/>
    <ds:schemaRef ds:uri="cd6d2771-e08b-42a3-90f8-eca630337659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customXml/itemProps2.xml><?xml version="1.0" encoding="utf-8"?>
<ds:datastoreItem xmlns:ds="http://schemas.openxmlformats.org/officeDocument/2006/customXml" ds:itemID="{85ED280E-F51D-42B1-B363-4EC477D089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Test case List</vt:lpstr>
      <vt:lpstr>Module1</vt:lpstr>
      <vt:lpstr>Module2</vt:lpstr>
      <vt:lpstr>testdata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pc</dc:creator>
  <dc:description>Updates sheet Cover: Add logo, document code, creator, reviewer/approver._x000d_
Add sheet Test Case List._x000d_
Change Sheet Company, User, Provider to Modules. Add column Inter-test case dependent. Update these sheets._x000d_
Update Test Report</dc:description>
  <cp:lastModifiedBy>Đỗ Nguyễn Nhật Trường</cp:lastModifiedBy>
  <cp:lastPrinted>2010-11-12T10:33:20Z</cp:lastPrinted>
  <dcterms:created xsi:type="dcterms:W3CDTF">2011-06-02T09:10:50Z</dcterms:created>
  <dcterms:modified xsi:type="dcterms:W3CDTF">2025-12-15T03:38:29Z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</Properties>
</file>