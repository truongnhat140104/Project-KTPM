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heckCompatibility="1"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1_{E2779E87-DE91-A844-A23E-0F3208BC4169}" xr6:coauthVersionLast="47" xr6:coauthVersionMax="47" xr10:uidLastSave="{00000000-0000-0000-0000-000000000000}"/>
  <bookViews>
    <workbookView xWindow="0" yWindow="680" windowWidth="34560" windowHeight="20060" tabRatio="821" activeTab="4" xr2:uid="{54D1C333-A8F3-504F-8D67-28F9DF72E520}"/>
  </bookViews>
  <sheets>
    <sheet name="Cover" sheetId="1" r:id="rId1"/>
    <sheet name="Test case List" sheetId="2" r:id="rId2"/>
    <sheet name="Module1" sheetId="3" r:id="rId3"/>
    <sheet name="Module2" sheetId="9" r:id="rId4"/>
    <sheet name="Test Report" sheetId="5" r:id="rId5"/>
  </sheets>
  <definedNames>
    <definedName name="_xlnm._FilterDatabase" localSheetId="2" hidden="1">Module1!$A$8:$G$8</definedName>
    <definedName name="_xlnm._FilterDatabase" localSheetId="3" hidden="1">Module2!#REF!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A6" i="3"/>
  <c r="D11" i="5" l="1"/>
  <c r="A6" i="9"/>
  <c r="D12" i="5" s="1"/>
  <c r="B6" i="9"/>
  <c r="E12" i="5" s="1"/>
  <c r="D6" i="9"/>
  <c r="G12" i="5" s="1"/>
  <c r="E6" i="9"/>
  <c r="H12" i="5" s="1"/>
  <c r="D6" i="3"/>
  <c r="E11" i="5"/>
  <c r="C6" i="1"/>
  <c r="D3" i="2"/>
  <c r="D4" i="2"/>
  <c r="C5" i="5"/>
  <c r="C11" i="5"/>
  <c r="C6" i="9" l="1"/>
  <c r="F12" i="5" s="1"/>
  <c r="E14" i="5"/>
  <c r="D14" i="5"/>
  <c r="H11" i="5"/>
  <c r="H14" i="5" s="1"/>
  <c r="G11" i="5"/>
  <c r="G14" i="5" l="1"/>
  <c r="E16" i="5" s="1"/>
  <c r="C6" i="3"/>
  <c r="F11" i="5" s="1"/>
  <c r="F14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A2EFF0CB-5607-B541-A684-9B925F100C1E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<sst xmlns="http://schemas.openxmlformats.org/spreadsheetml/2006/main" count="134" uniqueCount="82">
  <si>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</si>
  <si>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</si>
  <si>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</si>
  <si>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</si>
  <si>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</si>
  <si>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</si>
  <si>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</si>
  <si>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</si>
  <si>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</si>
  <si>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</si>
  <si>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</si>
  <si>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</si>
  <si>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</si>
  <si>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</si>
  <si>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</si>
  <si>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</si>
  <si>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</si>
  <si>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</si>
  <si>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</si>
  <si>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</si>
  <si>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</si>
  <si>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</si>
  <si>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</si>
  <si>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</si>
  <si>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</si>
  <si>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Module1</t>
  </si>
  <si>
    <t>Module2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</si>
  <si>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</si>
  <si>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</si>
  <si>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</si>
  <si>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</si>
  <si>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</si>
  <si>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</si>
  <si>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</si>
  <si>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</si>
  <si>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</si>
  <si>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</si>
  <si>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</si>
  <si>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</si>
  <si>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Result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</si>
  <si>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</si>
  <si>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</si>
  <si>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</si>
  <si>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</si>
  <si>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</si>
  <si>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</si>
  <si>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</si>
  <si>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</si>
  <si>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</si>
  <si>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</si>
  <si>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</si>
  <si>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Load Testing</t>
  </si>
  <si>
    <t>Stress Testing</t>
  </si>
  <si>
    <t>Type</t>
  </si>
  <si>
    <t>Test Scenario (Kịch bản)</t>
  </si>
  <si>
    <t>Workload (Cấu hình tải)</t>
  </si>
  <si>
    <t>Acceptance Criteria (Tiêu chí đạt)</t>
  </si>
  <si>
    <t>PT_LD_01</t>
  </si>
  <si>
    <t>PT_LD_02</t>
  </si>
  <si>
    <t>PT_CN_01</t>
  </si>
  <si>
    <t>Concurrency</t>
  </si>
  <si>
    <t>PT_ST_01</t>
  </si>
  <si>
    <t>PT_ST_02</t>
  </si>
  <si>
    <t>PT_RC_01</t>
  </si>
  <si>
    <t>Recovery</t>
  </si>
  <si>
    <t>Kiểm tra thời gian tải Home Page</t>
  </si>
  <si>
    <t>VUsers: 50 (Normal Load)
Ramp-up: 60s
Loop: 10 lần</t>
  </si>
  <si>
    <t>Avg Response Time ≤ 3 giây
Error Rate = 0%</t>
  </si>
  <si>
    <t>Hệ thống vẫn phản hồi (Responsive)
Error Rate &lt; 1%</t>
  </si>
  <si>
    <t>Tăng tải vượt quá năng lực thiết kế</t>
  </si>
  <si>
    <t>VUsers: tăng dần từ 500 → 1000
Step: +100 users/phút</t>
  </si>
  <si>
    <t>Không bị timeout nghiêm trọng
Hệ thống không crash
Database không bị deadlock</t>
  </si>
  <si>
    <t>Kiểm tra Graceful Degradation khi hệ thống quá tải</t>
  </si>
  <si>
    <t>VUsers: tại mức đỉnh (breaking point)</t>
  </si>
  <si>
    <t>Hiển thị thông báo lỗi thân thiện
Không hiển thị log code / stack trace / trang trắng</t>
  </si>
  <si>
    <t>Kiểm tra khả năng tự phục hồi hệ thống</t>
  </si>
  <si>
    <t>Chạy Stress Test (High Load)
Giảm tải về 0
Chạy lại Normal Load (50 users)</t>
  </si>
  <si>
    <t>Hệ thống hoạt động bình thường trở lại
Không cần restart server thủ công</t>
  </si>
  <si>
    <t>Kiểm tra hệ thống khi 500 users thực hiện thêm sản phẩm vào giỏ hàng đồng thời</t>
  </si>
  <si>
    <t>VUsers: 50 (Normal Load)
Ramp-up: 60s
Loop: 20 lần</t>
  </si>
  <si>
    <t>VUsers: 500
Ramp-up: 5-10 phút
Duration: 15 phút</t>
  </si>
  <si>
    <t>Kiểm tra thời gian tải Admin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</si>
</sst>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;@"/>
  </numFmts>
  <fonts count="22"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4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" fillId="0" borderId="0"/>
  </cellStyleXfs>
  <cellXfs count="1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2" xfId="0" applyFont="1" applyFill="1" applyBorder="1" applyAlignment="1">
      <alignment horizontal="left"/>
    </xf>
    <xf numFmtId="0" fontId="2" fillId="0" borderId="3" xfId="0" applyFont="1" applyBorder="1"/>
    <xf numFmtId="0" fontId="6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7" fillId="0" borderId="7" xfId="0" applyFont="1" applyBorder="1" applyAlignment="1">
      <alignment vertical="top" wrapText="1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5" fontId="2" fillId="0" borderId="8" xfId="0" applyNumberFormat="1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14" fillId="2" borderId="8" xfId="1" applyNumberFormat="1" applyFont="1" applyFill="1" applyBorder="1" applyAlignment="1" applyProtection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6" fillId="2" borderId="14" xfId="0" applyFont="1" applyFill="1" applyBorder="1"/>
    <xf numFmtId="0" fontId="16" fillId="2" borderId="14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6" fillId="2" borderId="0" xfId="0" applyFont="1" applyFill="1"/>
    <xf numFmtId="0" fontId="13" fillId="2" borderId="15" xfId="3" applyFont="1" applyFill="1" applyBorder="1" applyAlignment="1">
      <alignment horizontal="left" wrapText="1"/>
    </xf>
    <xf numFmtId="0" fontId="13" fillId="2" borderId="16" xfId="3" applyFont="1" applyFill="1" applyBorder="1" applyAlignment="1">
      <alignment horizontal="left" wrapText="1"/>
    </xf>
    <xf numFmtId="0" fontId="11" fillId="2" borderId="0" xfId="0" applyFont="1" applyFill="1"/>
    <xf numFmtId="0" fontId="11" fillId="2" borderId="1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13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0" xfId="2" applyFont="1" applyFill="1"/>
    <xf numFmtId="0" fontId="2" fillId="2" borderId="20" xfId="0" applyFont="1" applyFill="1" applyBorder="1"/>
    <xf numFmtId="0" fontId="8" fillId="3" borderId="2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17" fillId="3" borderId="26" xfId="0" applyFont="1" applyFill="1" applyBorder="1" applyAlignment="1">
      <alignment horizontal="center"/>
    </xf>
    <xf numFmtId="0" fontId="8" fillId="3" borderId="11" xfId="0" applyFont="1" applyFill="1" applyBorder="1"/>
    <xf numFmtId="0" fontId="17" fillId="3" borderId="11" xfId="0" applyFont="1" applyFill="1" applyBorder="1" applyAlignment="1">
      <alignment horizontal="center"/>
    </xf>
    <xf numFmtId="0" fontId="17" fillId="3" borderId="2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15" fillId="2" borderId="8" xfId="1" applyNumberFormat="1" applyFill="1" applyBorder="1" applyAlignment="1" applyProtection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2" borderId="8" xfId="1" applyNumberFormat="1" applyFill="1" applyBorder="1" applyAlignment="1" applyProtection="1">
      <alignment horizontal="left" vertical="center"/>
    </xf>
    <xf numFmtId="0" fontId="8" fillId="3" borderId="31" xfId="3" applyFont="1" applyFill="1" applyBorder="1" applyAlignment="1">
      <alignment horizontal="center" vertical="center" wrapText="1"/>
    </xf>
    <xf numFmtId="0" fontId="8" fillId="3" borderId="31" xfId="3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21" fillId="0" borderId="31" xfId="0" applyFont="1" applyBorder="1" applyAlignment="1">
      <alignment vertical="center" wrapText="1"/>
    </xf>
    <xf numFmtId="0" fontId="21" fillId="0" borderId="3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" fontId="6" fillId="2" borderId="1" xfId="0" applyNumberFormat="1" applyFont="1" applyFill="1" applyBorder="1"/>
    <xf numFmtId="0" fontId="7" fillId="2" borderId="2" xfId="0" applyFont="1" applyFill="1" applyBorder="1" applyAlignment="1">
      <alignment horizontal="left"/>
    </xf>
    <xf numFmtId="0" fontId="16" fillId="2" borderId="28" xfId="0" applyFont="1" applyFill="1" applyBorder="1" applyAlignment="1">
      <alignment horizontal="center" vertical="center" wrapText="1"/>
    </xf>
    <xf numFmtId="0" fontId="7" fillId="2" borderId="29" xfId="3" applyFont="1" applyFill="1" applyBorder="1" applyAlignment="1">
      <alignment horizontal="left" wrapText="1"/>
    </xf>
    <xf numFmtId="0" fontId="7" fillId="2" borderId="30" xfId="3" applyFont="1" applyFill="1" applyBorder="1" applyAlignment="1">
      <alignment horizontal="left" wrapText="1"/>
    </xf>
    <xf numFmtId="0" fontId="11" fillId="2" borderId="2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C48BB584-700B-D64B-8404-4676C820111A}"/>
    <cellStyle name="Normal_Sheet1" xfId="3" xr:uid="{A9264020-C429-5142-9C39-B67A411B90CE}"/>
    <cellStyle name="標準_結合試験(AllOvertheWorld)" xfId="4" xr:uid="{68F5B3C1-6BAD-E84F-8A2E-C6AF50D2838D}"/>
  </cellStyles>
  <dxfs count="0"/>
  <tableStyles count="1" defaultTableStyle="TableStyleMedium9" defaultPivotStyle="PivotStyleLight16">
    <tableStyle name="Invisible" pivot="0" table="0" count="0" xr9:uid="{AF480CE7-EB18-DC4D-AB1A-332A241A8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348D-9796-DF47-B02F-62DFD208A110}">
  <dimension ref="A2:G18"/>
  <sheetViews>
    <sheetView workbookViewId="0"/>
  </sheetViews>
  <sheetFormatPr baseColWidth="10" defaultColWidth="9" defaultRowHeight="13"/>
  <cols>
    <col min="1" max="1" width="2.1640625" style="1" customWidth="1"/>
    <col min="2" max="2" width="19.6640625" style="2" customWidth="1"/>
    <col min="3" max="3" width="9.1640625" style="1" customWidth="1"/>
    <col min="4" max="4" width="14.5" style="1" customWidth="1"/>
    <col min="5" max="5" width="8" style="1" customWidth="1"/>
    <col min="6" max="6" width="31.1640625" style="1" customWidth="1"/>
    <col min="7" max="7" width="31" style="1" customWidth="1"/>
    <col min="8" max="16384" width="9" style="1"/>
  </cols>
  <sheetData>
    <row r="2" spans="1:7" s="5" customFormat="1" ht="75.75" customHeight="1">
      <c r="A2" s="3"/>
      <c r="B2" s="4"/>
      <c r="C2" s="108" t="s">
        <v>0</v>
      </c>
      <c r="D2" s="108"/>
      <c r="E2" s="108"/>
      <c r="F2" s="108"/>
      <c r="G2" s="108"/>
    </row>
    <row r="3" spans="1:7">
      <c r="B3" s="6"/>
      <c r="C3" s="7"/>
      <c r="F3" s="8"/>
    </row>
    <row r="4" spans="1:7" ht="14.25" customHeight="1">
      <c r="B4" s="9" t="s">
        <v>1</v>
      </c>
      <c r="C4" s="109" t="s">
        <v>2</v>
      </c>
      <c r="D4" s="109"/>
      <c r="E4" s="109"/>
      <c r="F4" s="9" t="s">
        <v>3</v>
      </c>
      <c r="G4" s="10"/>
    </row>
    <row r="5" spans="1:7" ht="14.25" customHeight="1">
      <c r="B5" s="9" t="s">
        <v>4</v>
      </c>
      <c r="C5" s="109" t="s">
        <v>5</v>
      </c>
      <c r="D5" s="109"/>
      <c r="E5" s="109"/>
      <c r="F5" s="9" t="s">
        <v>6</v>
      </c>
      <c r="G5" s="10"/>
    </row>
    <row r="6" spans="1:7" ht="15.75" customHeight="1">
      <c r="B6" s="110" t="s">
        <v>7</v>
      </c>
      <c r="C6" s="111" t="str">
        <f>C5&amp;"_"&amp;"XXX"&amp;"_"&amp;"vx.x"</f>
        <v>&lt;Project Code&gt;_XXX_vx.x</v>
      </c>
      <c r="D6" s="111"/>
      <c r="E6" s="111"/>
      <c r="F6" s="9" t="s">
        <v>8</v>
      </c>
      <c r="G6" s="12"/>
    </row>
    <row r="7" spans="1:7" ht="13.5" customHeight="1">
      <c r="B7" s="110"/>
      <c r="C7" s="111"/>
      <c r="D7" s="111"/>
      <c r="E7" s="111"/>
      <c r="F7" s="9" t="s">
        <v>9</v>
      </c>
      <c r="G7" s="12"/>
    </row>
    <row r="8" spans="1:7">
      <c r="B8" s="13"/>
      <c r="C8" s="14"/>
      <c r="F8" s="6"/>
      <c r="G8" s="7"/>
    </row>
    <row r="10" spans="1:7">
      <c r="B10" s="15" t="s">
        <v>10</v>
      </c>
    </row>
    <row r="11" spans="1:7" s="16" customFormat="1">
      <c r="B11" s="17" t="s">
        <v>11</v>
      </c>
      <c r="C11" s="18" t="s">
        <v>9</v>
      </c>
      <c r="D11" s="18" t="s">
        <v>12</v>
      </c>
      <c r="E11" s="18" t="s">
        <v>13</v>
      </c>
      <c r="F11" s="18" t="s">
        <v>14</v>
      </c>
      <c r="G11" s="19" t="s">
        <v>15</v>
      </c>
    </row>
    <row r="12" spans="1:7" s="20" customFormat="1" ht="28">
      <c r="B12" s="21" t="s">
        <v>16</v>
      </c>
      <c r="C12" s="22"/>
      <c r="D12" s="23"/>
      <c r="E12" s="23"/>
      <c r="F12" s="24"/>
      <c r="G12" s="25" t="s">
        <v>50</v>
      </c>
    </row>
    <row r="13" spans="1:7" s="20" customFormat="1" ht="21.75" customHeight="1">
      <c r="B13" s="26"/>
      <c r="C13" s="22"/>
      <c r="D13" s="23"/>
      <c r="E13" s="23"/>
      <c r="F13" s="23"/>
      <c r="G13" s="27"/>
    </row>
    <row r="14" spans="1:7" s="20" customFormat="1" ht="19.5" customHeight="1">
      <c r="B14" s="26"/>
      <c r="C14" s="22"/>
      <c r="D14" s="23"/>
      <c r="E14" s="23"/>
      <c r="F14" s="23"/>
      <c r="G14" s="27"/>
    </row>
    <row r="15" spans="1:7" s="20" customFormat="1" ht="21.75" customHeight="1">
      <c r="B15" s="26"/>
      <c r="C15" s="22"/>
      <c r="D15" s="23"/>
      <c r="E15" s="23"/>
      <c r="F15" s="23"/>
      <c r="G15" s="27"/>
    </row>
    <row r="16" spans="1:7" s="20" customFormat="1" ht="19.5" customHeight="1">
      <c r="B16" s="26"/>
      <c r="C16" s="22"/>
      <c r="D16" s="23"/>
      <c r="E16" s="23"/>
      <c r="F16" s="23"/>
      <c r="G16" s="27"/>
    </row>
    <row r="17" spans="2:7" s="20" customFormat="1" ht="21.75" customHeight="1">
      <c r="B17" s="26"/>
      <c r="C17" s="22"/>
      <c r="D17" s="23"/>
      <c r="E17" s="23"/>
      <c r="F17" s="23"/>
      <c r="G17" s="27"/>
    </row>
    <row r="18" spans="2:7" s="20" customFormat="1" ht="19.5" customHeight="1">
      <c r="B18" s="28"/>
      <c r="C18" s="29"/>
      <c r="D18" s="30"/>
      <c r="E18" s="30"/>
      <c r="F18" s="30"/>
      <c r="G18" s="31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800-0BA0-DF42-BAF3-9D3D5760E564}">
  <dimension ref="B1:F21"/>
  <sheetViews>
    <sheetView zoomScale="178" workbookViewId="0">
      <selection activeCell="D10" sqref="D10"/>
    </sheetView>
  </sheetViews>
  <sheetFormatPr baseColWidth="10" defaultColWidth="9" defaultRowHeight="13"/>
  <cols>
    <col min="1" max="1" width="1.33203125" style="8" customWidth="1"/>
    <col min="2" max="2" width="11.83203125" style="32" customWidth="1"/>
    <col min="3" max="3" width="26.5" style="33" customWidth="1"/>
    <col min="4" max="4" width="17.1640625" style="33" customWidth="1"/>
    <col min="5" max="5" width="28.1640625" style="33" customWidth="1"/>
    <col min="6" max="6" width="30.6640625" style="33" customWidth="1"/>
    <col min="7" max="16384" width="9" style="8"/>
  </cols>
  <sheetData>
    <row r="1" spans="2:6" ht="25">
      <c r="B1" s="34"/>
      <c r="D1" s="35" t="s">
        <v>17</v>
      </c>
      <c r="E1" s="36"/>
    </row>
    <row r="2" spans="2:6" ht="13.5" customHeight="1">
      <c r="B2" s="34"/>
      <c r="D2" s="37"/>
      <c r="E2" s="37"/>
    </row>
    <row r="3" spans="2:6">
      <c r="B3" s="114" t="s">
        <v>1</v>
      </c>
      <c r="C3" s="114"/>
      <c r="D3" s="115" t="str">
        <f>Cover!C4</f>
        <v>&lt;Project Name&gt;</v>
      </c>
      <c r="E3" s="115"/>
      <c r="F3" s="115"/>
    </row>
    <row r="4" spans="2:6">
      <c r="B4" s="114" t="s">
        <v>4</v>
      </c>
      <c r="C4" s="114"/>
      <c r="D4" s="115" t="str">
        <f>Cover!C5</f>
        <v>&lt;Project Code&gt;</v>
      </c>
      <c r="E4" s="115"/>
      <c r="F4" s="115"/>
    </row>
    <row r="5" spans="2:6" s="38" customFormat="1" ht="84.75" customHeight="1">
      <c r="B5" s="112" t="s">
        <v>18</v>
      </c>
      <c r="C5" s="112"/>
      <c r="D5" s="113" t="s">
        <v>19</v>
      </c>
      <c r="E5" s="113"/>
      <c r="F5" s="113"/>
    </row>
    <row r="6" spans="2:6">
      <c r="B6" s="39"/>
      <c r="C6" s="8"/>
      <c r="D6" s="8"/>
      <c r="E6" s="8"/>
      <c r="F6" s="8"/>
    </row>
    <row r="7" spans="2:6" s="40" customFormat="1">
      <c r="B7" s="41"/>
      <c r="C7" s="42"/>
      <c r="D7" s="42"/>
      <c r="E7" s="42"/>
      <c r="F7" s="42"/>
    </row>
    <row r="8" spans="2:6" s="43" customFormat="1" ht="21" customHeight="1">
      <c r="B8" s="44" t="s">
        <v>20</v>
      </c>
      <c r="C8" s="45" t="s">
        <v>21</v>
      </c>
      <c r="D8" s="45" t="s">
        <v>22</v>
      </c>
      <c r="E8" s="46" t="s">
        <v>23</v>
      </c>
      <c r="F8" s="47" t="s">
        <v>24</v>
      </c>
    </row>
    <row r="9" spans="2:6">
      <c r="B9" s="48">
        <v>1</v>
      </c>
      <c r="C9" s="49" t="s">
        <v>51</v>
      </c>
      <c r="D9" s="50" t="s">
        <v>25</v>
      </c>
      <c r="E9" s="50"/>
      <c r="F9" s="51"/>
    </row>
    <row r="10" spans="2:6" ht="14">
      <c r="B10" s="48">
        <v>2</v>
      </c>
      <c r="C10" s="49" t="s">
        <v>52</v>
      </c>
      <c r="D10" s="101" t="s">
        <v>26</v>
      </c>
      <c r="E10" s="50"/>
      <c r="F10" s="51"/>
    </row>
    <row r="11" spans="2:6" ht="14">
      <c r="B11" s="48"/>
      <c r="C11" s="49"/>
      <c r="D11" s="102"/>
      <c r="E11" s="50"/>
      <c r="F11" s="51"/>
    </row>
    <row r="12" spans="2:6">
      <c r="B12" s="48"/>
      <c r="C12" s="49"/>
      <c r="D12" s="50"/>
      <c r="E12" s="50"/>
      <c r="F12" s="51"/>
    </row>
    <row r="13" spans="2:6">
      <c r="B13" s="48"/>
      <c r="C13" s="49"/>
      <c r="D13" s="50"/>
      <c r="E13" s="50"/>
      <c r="F13" s="51"/>
    </row>
    <row r="14" spans="2:6">
      <c r="B14" s="48"/>
      <c r="C14" s="49"/>
      <c r="D14" s="52"/>
      <c r="E14" s="52"/>
      <c r="F14" s="51"/>
    </row>
    <row r="15" spans="2:6">
      <c r="B15" s="48"/>
      <c r="C15" s="49"/>
      <c r="D15" s="52"/>
      <c r="E15" s="52"/>
      <c r="F15" s="51"/>
    </row>
    <row r="16" spans="2:6">
      <c r="B16" s="48"/>
      <c r="C16" s="49"/>
      <c r="D16" s="52"/>
      <c r="E16" s="52"/>
      <c r="F16" s="51"/>
    </row>
    <row r="17" spans="2:6">
      <c r="B17" s="48"/>
      <c r="C17" s="49"/>
      <c r="D17" s="52"/>
      <c r="E17" s="52"/>
      <c r="F17" s="51"/>
    </row>
    <row r="18" spans="2:6">
      <c r="B18" s="48"/>
      <c r="C18" s="49"/>
      <c r="D18" s="52"/>
      <c r="E18" s="52"/>
      <c r="F18" s="51"/>
    </row>
    <row r="19" spans="2:6">
      <c r="B19" s="48"/>
      <c r="C19" s="49"/>
      <c r="D19" s="52"/>
      <c r="E19" s="52"/>
      <c r="F19" s="51"/>
    </row>
    <row r="20" spans="2:6">
      <c r="B20" s="48"/>
      <c r="C20" s="49"/>
      <c r="D20" s="52"/>
      <c r="E20" s="52"/>
      <c r="F20" s="51"/>
    </row>
    <row r="21" spans="2:6">
      <c r="B21" s="53"/>
      <c r="C21" s="54"/>
      <c r="D21" s="55"/>
      <c r="E21" s="55"/>
      <c r="F21" s="5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FC77F630-5337-2145-ADDB-A7DD980E1A2D}"/>
    <hyperlink ref="D10" location="Module2!A1" display="Module2" xr:uid="{EFC3B2F0-9872-0B4D-9F85-37113E4168DE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BC5-B443-FF41-BA73-04E67E6728A8}">
  <dimension ref="A1:I14"/>
  <sheetViews>
    <sheetView zoomScale="110" zoomScaleNormal="110" workbookViewId="0">
      <pane ySplit="8" topLeftCell="A9" activePane="bottomLeft" state="frozen"/>
      <selection pane="bottomLeft" activeCell="E11" sqref="E11"/>
    </sheetView>
  </sheetViews>
  <sheetFormatPr baseColWidth="10" defaultColWidth="9" defaultRowHeight="13"/>
  <cols>
    <col min="1" max="1" width="14.33203125" style="8" customWidth="1"/>
    <col min="2" max="2" width="19.83203125" style="8" customWidth="1"/>
    <col min="3" max="3" width="37.6640625" style="8" customWidth="1"/>
    <col min="4" max="4" width="28.5" style="8" customWidth="1"/>
    <col min="5" max="5" width="31.6640625" style="8" customWidth="1"/>
    <col min="6" max="6" width="23.83203125" style="8" customWidth="1"/>
    <col min="7" max="7" width="14.83203125" style="8" customWidth="1"/>
    <col min="8" max="8" width="19.33203125" style="8" customWidth="1"/>
    <col min="9" max="9" width="0" style="8" hidden="1" customWidth="1"/>
    <col min="10" max="10" width="20.5" style="8" customWidth="1"/>
    <col min="11" max="11" width="19.5" style="8" customWidth="1"/>
    <col min="12" max="16384" width="9" style="8"/>
  </cols>
  <sheetData>
    <row r="1" spans="1:9" s="61" customFormat="1">
      <c r="A1" s="57"/>
      <c r="B1" s="58"/>
      <c r="C1" s="58"/>
      <c r="D1" s="58"/>
      <c r="E1" s="58"/>
      <c r="F1" s="59"/>
      <c r="G1" s="60"/>
      <c r="H1" s="38"/>
    </row>
    <row r="2" spans="1:9" s="61" customFormat="1" ht="15" customHeight="1">
      <c r="A2" s="62" t="s">
        <v>27</v>
      </c>
      <c r="B2" s="117" t="s">
        <v>28</v>
      </c>
      <c r="C2" s="117"/>
      <c r="D2" s="117"/>
      <c r="E2" s="117"/>
      <c r="F2" s="117"/>
      <c r="G2" s="38"/>
      <c r="H2" s="38"/>
      <c r="I2" s="61" t="s">
        <v>29</v>
      </c>
    </row>
    <row r="3" spans="1:9" s="61" customFormat="1" ht="25.5" customHeight="1">
      <c r="A3" s="63" t="s">
        <v>30</v>
      </c>
      <c r="B3" s="117" t="s">
        <v>31</v>
      </c>
      <c r="C3" s="117"/>
      <c r="D3" s="117"/>
      <c r="E3" s="117"/>
      <c r="F3" s="117"/>
      <c r="G3" s="38"/>
      <c r="H3" s="38"/>
      <c r="I3" s="61" t="s">
        <v>32</v>
      </c>
    </row>
    <row r="4" spans="1:9" s="61" customFormat="1" ht="18" customHeight="1">
      <c r="A4" s="62" t="s">
        <v>33</v>
      </c>
      <c r="B4" s="118"/>
      <c r="C4" s="118"/>
      <c r="D4" s="118"/>
      <c r="E4" s="118"/>
      <c r="F4" s="118"/>
      <c r="G4" s="38"/>
      <c r="H4" s="38"/>
      <c r="I4" s="64"/>
    </row>
    <row r="5" spans="1:9" s="61" customFormat="1" ht="19.5" customHeight="1">
      <c r="A5" s="65" t="s">
        <v>29</v>
      </c>
      <c r="B5" s="66" t="s">
        <v>32</v>
      </c>
      <c r="C5" s="66" t="s">
        <v>34</v>
      </c>
      <c r="D5" s="67" t="s">
        <v>35</v>
      </c>
      <c r="E5" s="119" t="s">
        <v>36</v>
      </c>
      <c r="F5" s="119"/>
      <c r="G5" s="68"/>
      <c r="H5" s="68"/>
      <c r="I5" s="61" t="s">
        <v>37</v>
      </c>
    </row>
    <row r="6" spans="1:9" s="61" customFormat="1" ht="15" customHeight="1">
      <c r="A6" s="69">
        <f>COUNTIF(F9:F964,"Pass")</f>
        <v>3</v>
      </c>
      <c r="B6" s="70">
        <f>COUNTIF(F9:F964,"Fail")</f>
        <v>0</v>
      </c>
      <c r="C6" s="70">
        <f>E6-D6-B6-A6</f>
        <v>0</v>
      </c>
      <c r="D6" s="71">
        <f>COUNTIF(G$9:G$964,"N/A")</f>
        <v>0</v>
      </c>
      <c r="E6" s="116">
        <v>3</v>
      </c>
      <c r="F6" s="116"/>
      <c r="G6" s="68"/>
      <c r="H6" s="68"/>
      <c r="I6" s="61" t="s">
        <v>35</v>
      </c>
    </row>
    <row r="7" spans="1:9" s="61" customFormat="1" ht="15" customHeight="1">
      <c r="D7" s="72"/>
      <c r="E7" s="72"/>
      <c r="F7" s="68"/>
      <c r="G7" s="68"/>
      <c r="H7" s="68"/>
    </row>
    <row r="8" spans="1:9" s="61" customFormat="1" ht="25.5" customHeight="1">
      <c r="A8" s="103" t="s">
        <v>38</v>
      </c>
      <c r="B8" s="103" t="s">
        <v>53</v>
      </c>
      <c r="C8" s="103" t="s">
        <v>54</v>
      </c>
      <c r="D8" s="103" t="s">
        <v>55</v>
      </c>
      <c r="E8" s="103" t="s">
        <v>56</v>
      </c>
      <c r="F8" s="104" t="s">
        <v>39</v>
      </c>
    </row>
    <row r="9" spans="1:9" ht="73" customHeight="1">
      <c r="A9" s="105" t="s">
        <v>57</v>
      </c>
      <c r="B9" s="105" t="s">
        <v>51</v>
      </c>
      <c r="C9" s="106" t="s">
        <v>65</v>
      </c>
      <c r="D9" s="106" t="s">
        <v>66</v>
      </c>
      <c r="E9" s="106" t="s">
        <v>67</v>
      </c>
      <c r="F9" s="107" t="s">
        <v>29</v>
      </c>
    </row>
    <row r="10" spans="1:9" ht="73" customHeight="1">
      <c r="A10" s="105" t="s">
        <v>58</v>
      </c>
      <c r="B10" s="105" t="s">
        <v>51</v>
      </c>
      <c r="C10" s="106" t="s">
        <v>81</v>
      </c>
      <c r="D10" s="106" t="s">
        <v>79</v>
      </c>
      <c r="E10" s="106" t="s">
        <v>67</v>
      </c>
      <c r="F10" s="107" t="s">
        <v>29</v>
      </c>
    </row>
    <row r="11" spans="1:9" ht="73" customHeight="1">
      <c r="A11" s="105" t="s">
        <v>59</v>
      </c>
      <c r="B11" s="105" t="s">
        <v>60</v>
      </c>
      <c r="C11" s="106" t="s">
        <v>78</v>
      </c>
      <c r="D11" s="106" t="s">
        <v>80</v>
      </c>
      <c r="E11" s="106" t="s">
        <v>68</v>
      </c>
      <c r="F11" s="107" t="s">
        <v>29</v>
      </c>
    </row>
    <row r="12" spans="1:9" ht="73" customHeight="1"/>
    <row r="13" spans="1:9" ht="73" customHeight="1"/>
    <row r="14" spans="1:9" ht="109" customHeight="1"/>
  </sheetData>
  <mergeCells count="5">
    <mergeCell ref="E6:F6"/>
    <mergeCell ref="B2:F2"/>
    <mergeCell ref="B3:F3"/>
    <mergeCell ref="B4:F4"/>
    <mergeCell ref="E5:F5"/>
  </mergeCells>
  <phoneticPr fontId="0" type="noConversion"/>
  <dataValidations disablePrompts="1" count="1">
    <dataValidation type="list" allowBlank="1" showErrorMessage="1" sqref="F1:F3 F7:F8 F15:F111" xr:uid="{0926D9D0-1AE7-204E-AFDC-71D73AD07237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63C4-5C5E-D449-BB67-F443A6D227A8}">
  <dimension ref="A1:J11"/>
  <sheetViews>
    <sheetView zoomScale="120" zoomScaleNormal="120" workbookViewId="0">
      <pane ySplit="7" topLeftCell="A8" activePane="bottomLeft" state="frozen"/>
      <selection pane="bottomLeft" activeCell="E10" sqref="E10"/>
    </sheetView>
  </sheetViews>
  <sheetFormatPr baseColWidth="10" defaultColWidth="9" defaultRowHeight="13"/>
  <cols>
    <col min="1" max="1" width="14.33203125" style="8" customWidth="1"/>
    <col min="2" max="2" width="22.33203125" style="8" customWidth="1"/>
    <col min="3" max="3" width="41" style="8" customWidth="1"/>
    <col min="4" max="4" width="36" style="8" customWidth="1"/>
    <col min="5" max="5" width="54.5" style="8" customWidth="1"/>
    <col min="6" max="6" width="12.6640625" style="8" customWidth="1"/>
    <col min="7" max="7" width="14.83203125" style="8" customWidth="1"/>
    <col min="8" max="8" width="17.33203125" style="8" customWidth="1"/>
    <col min="9" max="9" width="0" style="8" hidden="1" customWidth="1"/>
    <col min="10" max="10" width="22" style="8" customWidth="1"/>
    <col min="11" max="11" width="15.1640625" style="8" customWidth="1"/>
    <col min="12" max="16384" width="9" style="8"/>
  </cols>
  <sheetData>
    <row r="1" spans="1:10" s="61" customFormat="1" ht="14" thickBot="1">
      <c r="A1" s="57"/>
      <c r="B1" s="58"/>
      <c r="C1" s="58"/>
      <c r="D1" s="58"/>
      <c r="E1" s="58"/>
      <c r="F1" s="59"/>
      <c r="G1" s="60"/>
      <c r="H1" s="38"/>
      <c r="J1" s="38"/>
    </row>
    <row r="2" spans="1:10" s="61" customFormat="1" ht="15" customHeight="1">
      <c r="A2" s="62" t="s">
        <v>27</v>
      </c>
      <c r="B2" s="117" t="s">
        <v>28</v>
      </c>
      <c r="C2" s="117"/>
      <c r="D2" s="117"/>
      <c r="E2" s="117"/>
      <c r="F2" s="117"/>
      <c r="G2" s="38"/>
      <c r="H2" s="38"/>
      <c r="I2" s="61" t="s">
        <v>29</v>
      </c>
      <c r="J2" s="38"/>
    </row>
    <row r="3" spans="1:10" s="61" customFormat="1" ht="25.5" customHeight="1">
      <c r="A3" s="63" t="s">
        <v>30</v>
      </c>
      <c r="B3" s="117" t="s">
        <v>31</v>
      </c>
      <c r="C3" s="117"/>
      <c r="D3" s="117"/>
      <c r="E3" s="117"/>
      <c r="F3" s="117"/>
      <c r="G3" s="38"/>
      <c r="H3" s="38"/>
      <c r="I3" s="61" t="s">
        <v>32</v>
      </c>
      <c r="J3" s="38"/>
    </row>
    <row r="4" spans="1:10" s="61" customFormat="1" ht="18" customHeight="1">
      <c r="A4" s="62" t="s">
        <v>33</v>
      </c>
      <c r="B4" s="118"/>
      <c r="C4" s="118"/>
      <c r="D4" s="118"/>
      <c r="E4" s="118"/>
      <c r="F4" s="118"/>
      <c r="G4" s="38"/>
      <c r="H4" s="38"/>
      <c r="I4" s="64"/>
      <c r="J4" s="38"/>
    </row>
    <row r="5" spans="1:10" s="61" customFormat="1" ht="19.5" customHeight="1">
      <c r="A5" s="65" t="s">
        <v>29</v>
      </c>
      <c r="B5" s="66" t="s">
        <v>32</v>
      </c>
      <c r="C5" s="66" t="s">
        <v>34</v>
      </c>
      <c r="D5" s="67" t="s">
        <v>35</v>
      </c>
      <c r="E5" s="119" t="s">
        <v>36</v>
      </c>
      <c r="F5" s="119"/>
      <c r="G5" s="68"/>
      <c r="H5" s="68"/>
      <c r="I5" s="61" t="s">
        <v>37</v>
      </c>
      <c r="J5" s="68"/>
    </row>
    <row r="6" spans="1:10" s="61" customFormat="1" ht="15" customHeight="1" thickBot="1">
      <c r="A6" s="69">
        <f>COUNTIF(F8:F984,"Pass")</f>
        <v>3</v>
      </c>
      <c r="B6" s="70">
        <f>COUNTIF(F8:F984,"Fail")</f>
        <v>0</v>
      </c>
      <c r="C6" s="70">
        <f>E6-D6-B6-A6</f>
        <v>0</v>
      </c>
      <c r="D6" s="71">
        <f>COUNTIF(F$8:F$984,"N/A")</f>
        <v>0</v>
      </c>
      <c r="E6" s="116">
        <f>ROWS(A9:A11)</f>
        <v>3</v>
      </c>
      <c r="F6" s="116"/>
      <c r="G6" s="68"/>
      <c r="H6" s="68"/>
      <c r="I6" s="61" t="s">
        <v>35</v>
      </c>
      <c r="J6" s="68"/>
    </row>
    <row r="7" spans="1:10" s="61" customFormat="1" ht="15" customHeight="1">
      <c r="D7" s="72"/>
      <c r="E7" s="72"/>
      <c r="F7" s="68"/>
      <c r="G7" s="68"/>
      <c r="H7" s="68"/>
      <c r="J7" s="68"/>
    </row>
    <row r="8" spans="1:10" ht="14">
      <c r="A8" s="103" t="s">
        <v>38</v>
      </c>
      <c r="B8" s="103" t="s">
        <v>53</v>
      </c>
      <c r="C8" s="103" t="s">
        <v>54</v>
      </c>
      <c r="D8" s="103" t="s">
        <v>55</v>
      </c>
      <c r="E8" s="103" t="s">
        <v>56</v>
      </c>
      <c r="F8" s="104" t="s">
        <v>39</v>
      </c>
    </row>
    <row r="9" spans="1:10" ht="54">
      <c r="A9" s="105" t="s">
        <v>61</v>
      </c>
      <c r="B9" s="105" t="s">
        <v>52</v>
      </c>
      <c r="C9" s="106" t="s">
        <v>69</v>
      </c>
      <c r="D9" s="106" t="s">
        <v>70</v>
      </c>
      <c r="E9" s="106" t="s">
        <v>71</v>
      </c>
      <c r="F9" s="107" t="s">
        <v>29</v>
      </c>
    </row>
    <row r="10" spans="1:10" ht="36">
      <c r="A10" s="105" t="s">
        <v>62</v>
      </c>
      <c r="B10" s="105" t="s">
        <v>52</v>
      </c>
      <c r="C10" s="106" t="s">
        <v>72</v>
      </c>
      <c r="D10" s="106" t="s">
        <v>73</v>
      </c>
      <c r="E10" s="106" t="s">
        <v>74</v>
      </c>
      <c r="F10" s="107" t="s">
        <v>29</v>
      </c>
    </row>
    <row r="11" spans="1:10" ht="54">
      <c r="A11" s="105" t="s">
        <v>63</v>
      </c>
      <c r="B11" s="105" t="s">
        <v>64</v>
      </c>
      <c r="C11" s="106" t="s">
        <v>75</v>
      </c>
      <c r="D11" s="106" t="s">
        <v>76</v>
      </c>
      <c r="E11" s="106" t="s">
        <v>77</v>
      </c>
      <c r="F11" s="107" t="s">
        <v>29</v>
      </c>
    </row>
  </sheetData>
  <mergeCells count="5">
    <mergeCell ref="B2:F2"/>
    <mergeCell ref="B3:F3"/>
    <mergeCell ref="B4:F4"/>
    <mergeCell ref="E5:F5"/>
    <mergeCell ref="E6:F6"/>
  </mergeCells>
  <phoneticPr fontId="20" type="noConversion"/>
  <dataValidations count="1">
    <dataValidation type="list" allowBlank="1" showErrorMessage="1" sqref="F1:F3 F12:F126 F7:F8" xr:uid="{7406C162-9956-9F49-A04A-E6797D53F35A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6199-8AF6-B940-8B43-002AEC695EDA}">
  <dimension ref="A1:H17"/>
  <sheetViews>
    <sheetView tabSelected="1" workbookViewId="0">
      <selection activeCell="I14" sqref="I14"/>
    </sheetView>
  </sheetViews>
  <sheetFormatPr baseColWidth="10" defaultColWidth="9" defaultRowHeight="13"/>
  <cols>
    <col min="1" max="1" width="9" style="8"/>
    <col min="2" max="2" width="13.5" style="8" customWidth="1"/>
    <col min="3" max="3" width="19.33203125" style="8" customWidth="1"/>
    <col min="4" max="7" width="9" style="8"/>
    <col min="8" max="9" width="33.1640625" style="8" customWidth="1"/>
    <col min="10" max="16384" width="9" style="8"/>
  </cols>
  <sheetData>
    <row r="1" spans="1:8" ht="25.5" customHeight="1">
      <c r="B1" s="122" t="s">
        <v>40</v>
      </c>
      <c r="C1" s="122"/>
      <c r="D1" s="122"/>
      <c r="E1" s="122"/>
      <c r="F1" s="122"/>
      <c r="G1" s="122"/>
      <c r="H1" s="122"/>
    </row>
    <row r="2" spans="1:8" ht="14.25" customHeight="1">
      <c r="A2" s="73"/>
      <c r="B2" s="73"/>
      <c r="C2" s="74"/>
      <c r="D2" s="74"/>
      <c r="E2" s="74"/>
      <c r="F2" s="74"/>
      <c r="G2" s="74"/>
      <c r="H2" s="75"/>
    </row>
    <row r="3" spans="1:8" ht="12" customHeight="1">
      <c r="B3" s="11" t="s">
        <v>1</v>
      </c>
      <c r="C3" s="115" t="s">
        <v>2</v>
      </c>
      <c r="D3" s="115"/>
      <c r="E3" s="120" t="s">
        <v>3</v>
      </c>
      <c r="F3" s="120"/>
      <c r="G3" s="76"/>
      <c r="H3" s="77"/>
    </row>
    <row r="4" spans="1:8" ht="12" customHeight="1">
      <c r="B4" s="11" t="s">
        <v>4</v>
      </c>
      <c r="C4" s="115" t="s">
        <v>5</v>
      </c>
      <c r="D4" s="115"/>
      <c r="E4" s="120" t="s">
        <v>6</v>
      </c>
      <c r="F4" s="120"/>
      <c r="G4" s="76"/>
      <c r="H4" s="77"/>
    </row>
    <row r="5" spans="1:8" ht="12" customHeight="1">
      <c r="B5" s="78" t="s">
        <v>7</v>
      </c>
      <c r="C5" s="115" t="str">
        <f>C4&amp;"_"&amp;"Test Report"&amp;"_"&amp;"vx.x"</f>
        <v>&lt;Project Code&gt;_Test Report_vx.x</v>
      </c>
      <c r="D5" s="115"/>
      <c r="E5" s="120" t="s">
        <v>8</v>
      </c>
      <c r="F5" s="120"/>
      <c r="G5" s="76"/>
      <c r="H5" s="79" t="s">
        <v>41</v>
      </c>
    </row>
    <row r="6" spans="1:8" ht="21.75" customHeight="1">
      <c r="A6" s="73"/>
      <c r="B6" s="78" t="s">
        <v>42</v>
      </c>
      <c r="C6" s="121" t="s">
        <v>43</v>
      </c>
      <c r="D6" s="121"/>
      <c r="E6" s="121"/>
      <c r="F6" s="121"/>
      <c r="G6" s="121"/>
      <c r="H6" s="121"/>
    </row>
    <row r="7" spans="1:8" ht="14.25" customHeight="1">
      <c r="A7" s="73"/>
      <c r="B7" s="13"/>
      <c r="C7" s="80"/>
      <c r="D7" s="74"/>
      <c r="E7" s="74"/>
      <c r="F7" s="74"/>
      <c r="G7" s="74"/>
      <c r="H7" s="75"/>
    </row>
    <row r="8" spans="1:8">
      <c r="B8" s="13"/>
      <c r="C8" s="80"/>
      <c r="D8" s="74"/>
      <c r="E8" s="74"/>
      <c r="F8" s="74"/>
      <c r="G8" s="74"/>
      <c r="H8" s="75"/>
    </row>
    <row r="10" spans="1:8" ht="14">
      <c r="A10" s="81"/>
      <c r="B10" s="82" t="s">
        <v>20</v>
      </c>
      <c r="C10" s="83" t="s">
        <v>44</v>
      </c>
      <c r="D10" s="84" t="s">
        <v>29</v>
      </c>
      <c r="E10" s="83" t="s">
        <v>32</v>
      </c>
      <c r="F10" s="83" t="s">
        <v>34</v>
      </c>
      <c r="G10" s="85" t="s">
        <v>35</v>
      </c>
      <c r="H10" s="86" t="s">
        <v>45</v>
      </c>
    </row>
    <row r="11" spans="1:8">
      <c r="A11" s="81"/>
      <c r="B11" s="87">
        <v>1</v>
      </c>
      <c r="C11" s="88" t="str">
        <f>Module1!B2</f>
        <v xml:space="preserve">Module1 </v>
      </c>
      <c r="D11" s="89">
        <f>Module1!A6</f>
        <v>3</v>
      </c>
      <c r="E11" s="89">
        <f>Module1!B6</f>
        <v>0</v>
      </c>
      <c r="F11" s="89">
        <f>Module1!C6</f>
        <v>0</v>
      </c>
      <c r="G11" s="90">
        <f>Module1!D6</f>
        <v>0</v>
      </c>
      <c r="H11" s="91">
        <f>Module1!E6</f>
        <v>3</v>
      </c>
    </row>
    <row r="12" spans="1:8">
      <c r="A12" s="81"/>
      <c r="B12" s="87">
        <v>2</v>
      </c>
      <c r="C12" s="88" t="s">
        <v>26</v>
      </c>
      <c r="D12" s="89">
        <f>Module2!A6</f>
        <v>3</v>
      </c>
      <c r="E12" s="89">
        <f>Module2!B6</f>
        <v>0</v>
      </c>
      <c r="F12" s="89">
        <f>Module2!C6</f>
        <v>0</v>
      </c>
      <c r="G12" s="89">
        <f>Module2!D6</f>
        <v>0</v>
      </c>
      <c r="H12" s="91">
        <f>Module2!E6</f>
        <v>3</v>
      </c>
    </row>
    <row r="13" spans="1:8">
      <c r="A13" s="81"/>
      <c r="B13" s="87"/>
      <c r="C13" s="88"/>
      <c r="D13" s="89"/>
      <c r="E13" s="89"/>
      <c r="F13" s="89"/>
      <c r="G13" s="90"/>
      <c r="H13" s="91"/>
    </row>
    <row r="14" spans="1:8">
      <c r="A14" s="81"/>
      <c r="B14" s="92"/>
      <c r="C14" s="93" t="s">
        <v>46</v>
      </c>
      <c r="D14" s="94">
        <f>SUM(D9:D13)</f>
        <v>6</v>
      </c>
      <c r="E14" s="94">
        <f>SUM(E9:E13)</f>
        <v>0</v>
      </c>
      <c r="F14" s="94">
        <f>SUM(F9:F13)</f>
        <v>0</v>
      </c>
      <c r="G14" s="94">
        <f>SUM(G9:G13)</f>
        <v>0</v>
      </c>
      <c r="H14" s="95">
        <f>SUM(H9:H13)</f>
        <v>6</v>
      </c>
    </row>
    <row r="15" spans="1:8">
      <c r="B15" s="96"/>
      <c r="D15" s="97"/>
      <c r="E15" s="98"/>
      <c r="F15" s="98"/>
      <c r="G15" s="98"/>
      <c r="H15" s="98"/>
    </row>
    <row r="16" spans="1:8">
      <c r="C16" s="99" t="s">
        <v>47</v>
      </c>
      <c r="E16" s="100">
        <f>(D14+E14)*100/(H14-G14)</f>
        <v>100</v>
      </c>
      <c r="F16" s="8" t="s">
        <v>48</v>
      </c>
      <c r="H16" s="72"/>
    </row>
    <row r="17" spans="3:8">
      <c r="C17" s="99" t="s">
        <v>49</v>
      </c>
      <c r="E17" s="100">
        <f>D14*100/(H14-G14)</f>
        <v>100</v>
      </c>
      <c r="F17" s="8" t="s">
        <v>48</v>
      </c>
      <c r="H17" s="7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CAE63D-5380-40ED-A43E-1567E1C20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Module1</vt:lpstr>
      <vt:lpstr>Module2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Đỗ Nguyễn Nhật Trường</cp:lastModifiedBy>
  <cp:lastPrinted>2010-11-12T10:33:20Z</cp:lastPrinted>
  <dcterms:created xsi:type="dcterms:W3CDTF">2011-06-02T09:10:50Z</dcterms:created>
  <dcterms:modified xsi:type="dcterms:W3CDTF">2025-12-18T17:19:00Z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