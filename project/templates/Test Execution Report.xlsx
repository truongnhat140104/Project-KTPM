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hidePivotFieldList="1" checkCompatibility="1"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9_{59F88AB4-214F-3F4C-9DB4-FC62BE9D174F}" xr6:coauthVersionLast="47" xr6:coauthVersionMax="47" xr10:uidLastSave="{00000000-0000-0000-0000-000000000000}"/>
  <bookViews>
    <workbookView xWindow="0" yWindow="660" windowWidth="34560" windowHeight="20080" tabRatio="943" activeTab="2" xr2:uid="{9D65CF23-D743-0A4B-85ED-AFA3F9B6771F}"/>
  </bookViews>
  <sheets>
    <sheet name="Cover" sheetId="28" r:id="rId1"/>
    <sheet name="Interface Execution" sheetId="31" r:id="rId2"/>
    <sheet name="Functional" sheetId="40" r:id="rId3"/>
    <sheet name="Compatibility" sheetId="36" r:id="rId4"/>
    <sheet name="Database" sheetId="35" r:id="rId5"/>
    <sheet name="Usability" sheetId="39" r:id="rId6"/>
    <sheet name="Performance" sheetId="37" r:id="rId7"/>
    <sheet name="Doc Control" sheetId="30" r:id="rId8"/>
    <sheet name="Tailoring " sheetId="26" state="veryHidden" r:id="rId9"/>
  </sheets>
  <externalReferences>
    <externalReference r:id="rId10"/>
    <externalReference r:id="rId11"/>
  </externalReferences>
  <definedNames>
    <definedName name="Action_Handler">#REF!</definedName>
    <definedName name="CHARTINFO">#REF!</definedName>
    <definedName name="Days">#REF!</definedName>
    <definedName name="Deliverables">#REF!</definedName>
    <definedName name="Developers">#REF!</definedName>
    <definedName name="DONE_DEL">#REF!</definedName>
    <definedName name="Interfaces">#REF!</definedName>
    <definedName name="JSP">#REF!</definedName>
    <definedName name="LOOP_DEL">#REF!</definedName>
    <definedName name="Object_Code">#REF!</definedName>
    <definedName name="Parameters">'[1]Project Metrics'!#REF!</definedName>
    <definedName name="_xlnm.Print_Area">#REF!</definedName>
    <definedName name="_xlnm.Print_Titles">#N/A</definedName>
    <definedName name="Reviews">#REF!</definedName>
    <definedName name="Subsystems">#REF!</definedName>
    <definedName name="Test_levels">#REF!</definedName>
    <definedName name="Test_types">#REF!</definedName>
    <definedName name="Use_Cases">#REF!</definedName>
    <definedName name="View_Bean">#REF!</definedName>
    <definedName name="Weeks">#REF!</definedName>
    <definedName name="Z_7B2F5709_CBD6_4AC0_9610_32773BF5DEF0_.wvu.Cols" localSheetId="0" hidden="1">Cover!#REF!</definedName>
    <definedName name="Z_7B2F5709_CBD6_4AC0_9610_32773BF5DEF0_.wvu.PrintTitles" localSheetId="0" hidden="1">Cover!#REF!,Cover!#REF!</definedName>
    <definedName name="Z_7B2F5709_CBD6_4AC0_9610_32773BF5DEF0_.wvu.Rows" localSheetId="0" hidden="1">Cover!#REF!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0" l="1"/>
  <c r="K18" i="40"/>
  <c r="K17" i="40"/>
  <c r="H7" i="39" l="1"/>
  <c r="H6" i="39"/>
  <c r="H8" i="39" s="1"/>
  <c r="H5" i="39"/>
  <c r="H4" i="39"/>
  <c r="H7" i="37" l="1"/>
  <c r="H6" i="37"/>
  <c r="H8" i="37" s="1"/>
  <c r="H5" i="37"/>
  <c r="H4" i="37"/>
  <c r="H7" i="36"/>
  <c r="H6" i="36"/>
  <c r="H8" i="36" s="1"/>
  <c r="H5" i="36"/>
  <c r="H4" i="36"/>
  <c r="H7" i="35"/>
  <c r="H6" i="35"/>
  <c r="H8" i="35" s="1"/>
  <c r="H5" i="35"/>
  <c r="H4" i="35"/>
  <c r="A51" i="26"/>
  <c r="A50" i="26"/>
  <c r="A49" i="26"/>
  <c r="A48" i="26"/>
  <c r="A47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4" i="26"/>
  <c r="A13" i="26"/>
  <c r="A12" i="26"/>
  <c r="A11" i="26"/>
  <c r="A10" i="26"/>
  <c r="A9" i="26"/>
  <c r="A8" i="26"/>
  <c r="A7" i="26"/>
  <c r="A6" i="26"/>
  <c r="A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IBM_USER</author>
  </authors>
  <commentList>
    <comment ref="C4" authorId="0" shapeId="0" xr:uid="{C6FDEE67-54CE-FB47-A47B-D657C85DAA66}">
      <text>
        <r>
          <rPr>
            <b/>
            <sz val="10"/>
            <color rgb="FF000000"/>
            <rFont val="Tahoma"/>
            <family val="2"/>
          </rPr>
          <t>Required status: Passed / Failed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IBM_USER</author>
  </authors>
  <commentList>
    <comment ref="C4" authorId="0" shapeId="0" xr:uid="{E0433410-0DBB-9D47-A57A-8A84ECC402CB}">
      <text>
        <r>
          <rPr>
            <b/>
            <sz val="10"/>
            <color rgb="FF000000"/>
            <rFont val="Tahoma"/>
            <family val="2"/>
          </rPr>
          <t>Required status: Passed / Failed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IBM_USER</author>
  </authors>
  <commentList>
    <comment ref="C4" authorId="0" shapeId="0" xr:uid="{97E4B216-6622-F948-9CB0-309B799F8BB6}">
      <text>
        <r>
          <rPr>
            <b/>
            <sz val="10"/>
            <color indexed="81"/>
            <rFont val="Tahoma"/>
            <family val="2"/>
          </rPr>
          <t>Required status: Passed / Failed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IBM_USER</author>
  </authors>
  <commentList>
    <comment ref="C4" authorId="0" shapeId="0" xr:uid="{C2B36BE2-D63C-3441-B455-8FF132245217}">
      <text>
        <r>
          <rPr>
            <b/>
            <sz val="10"/>
            <color indexed="81"/>
            <rFont val="Tahoma"/>
            <family val="2"/>
          </rPr>
          <t>Required status: Passed / Failed</t>
        </r>
      </text>
    </comment>
  </commentList>
</comments>
</file>

<file path=xl/sharedStrings.xml><?xml version="1.0" encoding="utf-8"?>
<sst xmlns="http://schemas.openxmlformats.org/spreadsheetml/2006/main" count="842" uniqueCount="341">
  <si>
    <t>Yes</t>
  </si>
  <si>
    <t>No</t>
  </si>
  <si>
    <t xml:space="preserve"> </t>
  </si>
  <si>
    <t>Severity</t>
  </si>
  <si>
    <t xml:space="preserve">Standard Criteria </t>
  </si>
  <si>
    <t>Tailoring</t>
  </si>
  <si>
    <t>Use this Tab to change standard criteria defaults and overall score defaults</t>
  </si>
  <si>
    <t>Overall Score Reduction</t>
  </si>
  <si>
    <t>If number of items by severity in review log is equal of greater than threshold, overall score will be reduced by</t>
  </si>
  <si>
    <t>Red</t>
  </si>
  <si>
    <t>Yellow</t>
  </si>
  <si>
    <t>Green</t>
  </si>
  <si>
    <t>Threshold (Number of items that trigger an overall score reduction)</t>
  </si>
  <si>
    <t>Associated Risk Assessment+Print_Area</t>
  </si>
  <si>
    <t>Small</t>
  </si>
  <si>
    <t>Large</t>
  </si>
  <si>
    <t>Project</t>
  </si>
  <si>
    <t>[Project ID / Name]</t>
  </si>
  <si>
    <t>Program / Division</t>
  </si>
  <si>
    <t>[Program / Division]</t>
  </si>
  <si>
    <t>[x.x]</t>
  </si>
  <si>
    <t>[01-Apr-2009]</t>
  </si>
  <si>
    <t>Location</t>
  </si>
  <si>
    <t>PCB/Quality</t>
  </si>
  <si>
    <t>This information is for template control purpose only. This page can be removed when an actual document is made.</t>
  </si>
  <si>
    <t>Document Control Page</t>
  </si>
  <si>
    <t>Template version:</t>
  </si>
  <si>
    <t>0.95</t>
  </si>
  <si>
    <t>Template status:</t>
  </si>
  <si>
    <t>Reviewed</t>
  </si>
  <si>
    <t>Template file name: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</si>
  <si>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</si>
  <si>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</si>
  <si>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</si>
  <si>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</si>
  <si>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</si>
  <si>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</si>
  <si>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</si>
  <si>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</si>
  <si>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SEPG</t>
  </si>
  <si>
    <t>0.9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</si>
  <si>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</si>
  <si>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</si>
  <si>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t>Blue comment</t>
    </r>
    <r>
      <rPr>
        <i/>
        <sz val="10"/>
        <color indexed="12"/>
        <rFont val="Arial"/>
        <family val="2"/>
      </rPr>
      <t xml:space="preserve">: The brief guidance on how to fill the sections. These parts shall be </t>
    </r>
    <r>
      <rPr>
        <b/>
        <i/>
        <sz val="10"/>
        <color indexed="12"/>
        <rFont val="Arial"/>
        <family val="2"/>
      </rPr>
      <t>removed</t>
    </r>
    <r>
      <rPr>
        <i/>
        <sz val="10"/>
        <color indexed="12"/>
        <rFont val="Arial"/>
        <family val="2"/>
      </rPr>
      <t xml:space="preserve"> from the actual documents.</t>
    </r>
  </si>
  <si>
    <r>
      <t>Example (Red text)</t>
    </r>
    <r>
      <rPr>
        <i/>
        <sz val="10"/>
        <color indexed="12"/>
        <rFont val="Arial"/>
        <family val="2"/>
      </rPr>
      <t xml:space="preserve">: The brief example to illustrate the sections. These parts shall be </t>
    </r>
    <r>
      <rPr>
        <b/>
        <i/>
        <sz val="10"/>
        <color indexed="12"/>
        <rFont val="Arial"/>
        <family val="2"/>
      </rPr>
      <t>removed</t>
    </r>
    <r>
      <rPr>
        <i/>
        <sz val="10"/>
        <color indexed="12"/>
        <rFont val="Arial"/>
        <family val="2"/>
      </rPr>
      <t xml:space="preserve"> from the actual documents.</t>
    </r>
  </si>
  <si>
    <r>
      <t xml:space="preserve">[Text in brackets]: Shall be </t>
    </r>
    <r>
      <rPr>
        <b/>
        <i/>
        <sz val="10"/>
        <color indexed="12"/>
        <rFont val="Arial"/>
        <family val="2"/>
      </rPr>
      <t>replaced</t>
    </r>
    <r>
      <rPr>
        <i/>
        <sz val="10"/>
        <color indexed="12"/>
        <rFont val="Arial"/>
        <family val="2"/>
      </rPr>
      <t xml:space="preserve"> with the actual contents.</t>
    </r>
  </si>
  <si>
    <t>Update based on review of Aug 19 with PI task force</t>
  </si>
  <si>
    <t>Name</t>
  </si>
  <si>
    <t>Title</t>
  </si>
  <si>
    <t xml:space="preserve">Template Used: </t>
  </si>
  <si>
    <t>For more information</t>
  </si>
  <si>
    <t>IBM contact</t>
  </si>
  <si>
    <t>Customer contact</t>
  </si>
  <si>
    <t>Customer address line 1</t>
  </si>
  <si>
    <t>IBM address line 2</t>
  </si>
  <si>
    <t>Customer address line 2</t>
  </si>
  <si>
    <t>Telephone</t>
  </si>
  <si>
    <t>Fax</t>
  </si>
  <si>
    <t>E-mail</t>
  </si>
  <si>
    <r>
      <t>IBM</t>
    </r>
    <r>
      <rPr>
        <b/>
        <sz val="10"/>
        <rFont val="Arial"/>
      </rPr>
      <t xml:space="preserve"> </t>
    </r>
    <r>
      <rPr>
        <sz val="10"/>
        <rFont val="Arial"/>
        <family val="2"/>
      </rPr>
      <t>address line 1</t>
    </r>
  </si>
  <si>
    <t>Build Version</t>
  </si>
  <si>
    <t>Author / Technical Owner</t>
  </si>
  <si>
    <t>Approval Status</t>
  </si>
  <si>
    <t>Not Required</t>
  </si>
  <si>
    <t>[Tester Name]</t>
  </si>
  <si>
    <t>Reporting Date</t>
  </si>
  <si>
    <t>Test Execution Report</t>
  </si>
  <si>
    <t>Test Execution Report 1.0</t>
  </si>
  <si>
    <r>
      <t>Usage Note</t>
    </r>
    <r>
      <rPr>
        <b/>
        <i/>
        <sz val="10"/>
        <color indexed="12"/>
        <rFont val="Arial"/>
        <family val="2"/>
      </rPr>
      <t xml:space="preserve">: 
</t>
    </r>
    <r>
      <rPr>
        <i/>
        <sz val="10"/>
        <color indexed="12"/>
        <rFont val="Arial"/>
        <family val="2"/>
      </rPr>
      <t>The Testing Team will generate at least one Test Execution for each Build</t>
    </r>
    <r>
      <rPr>
        <b/>
        <i/>
        <sz val="10"/>
        <color indexed="12"/>
        <rFont val="Arial"/>
        <family val="2"/>
      </rPr>
      <t xml:space="preserve">
</t>
    </r>
    <r>
      <rPr>
        <i/>
        <sz val="10"/>
        <color indexed="12"/>
        <rFont val="Arial"/>
        <family val="2"/>
      </rPr>
      <t>This template will not be used if there is a test execution management software replaces</t>
    </r>
  </si>
  <si>
    <t>Test Execution Report Template</t>
  </si>
  <si>
    <t>Test Execution Report.xls</t>
  </si>
  <si>
    <t>1.0</t>
  </si>
  <si>
    <t>Approved</t>
  </si>
  <si>
    <t>Hy TQ</t>
  </si>
  <si>
    <t>DE Manager</t>
  </si>
  <si>
    <t>INTERFACE TEST EXECUTION REPORT</t>
  </si>
  <si>
    <t>Project Name</t>
  </si>
  <si>
    <t>Fast Food Delivery Application</t>
  </si>
  <si>
    <t>Test Cycle</t>
  </si>
  <si>
    <t>Interface Testing - Cycle 1</t>
  </si>
  <si>
    <t>Test Date</t>
  </si>
  <si>
    <t>2025-12-10 to 2025-12-16</t>
  </si>
  <si>
    <t>Tester</t>
  </si>
  <si>
    <t>Test Engineer</t>
  </si>
  <si>
    <t>EXECUTION SUMMARY</t>
  </si>
  <si>
    <t>Status</t>
  </si>
  <si>
    <t>Count</t>
  </si>
  <si>
    <t>Total Test Cases</t>
  </si>
  <si>
    <t>Passed</t>
  </si>
  <si>
    <t>28 (80%)</t>
  </si>
  <si>
    <t>Failed</t>
  </si>
  <si>
    <t>4 (11%)</t>
  </si>
  <si>
    <t>Blocked</t>
  </si>
  <si>
    <t>2 (6%)</t>
  </si>
  <si>
    <t>Not Run</t>
  </si>
  <si>
    <t>1 (3%)</t>
  </si>
  <si>
    <t>Pass Rate</t>
  </si>
  <si>
    <t>80.00%</t>
  </si>
  <si>
    <t>TEST CASE EXECUTION DETAILS</t>
  </si>
  <si>
    <t>Module</t>
  </si>
  <si>
    <t>Pass</t>
  </si>
  <si>
    <t>ID</t>
  </si>
  <si>
    <t>Test Case Description</t>
  </si>
  <si>
    <t>Execution Result</t>
  </si>
  <si>
    <t>Defect Reference</t>
  </si>
  <si>
    <t>Executed By</t>
  </si>
  <si>
    <t>Execution Date</t>
  </si>
  <si>
    <t>Remarks</t>
  </si>
  <si>
    <t>Module1</t>
  </si>
  <si>
    <t>TC-USER-001</t>
  </si>
  <si>
    <t>Register with valid credentials</t>
  </si>
  <si>
    <t>2025-12-10</t>
  </si>
  <si>
    <t>Module2</t>
  </si>
  <si>
    <t>TC-USER-002</t>
  </si>
  <si>
    <t>Register with duplicate email</t>
  </si>
  <si>
    <t>Module3</t>
  </si>
  <si>
    <t>TC-USER-003</t>
  </si>
  <si>
    <t>Register with invalid email</t>
  </si>
  <si>
    <t>Module4</t>
  </si>
  <si>
    <t>TC-USER-004</t>
  </si>
  <si>
    <t>Register with weak password</t>
  </si>
  <si>
    <t>Module5</t>
  </si>
  <si>
    <t>TC-USER-005</t>
  </si>
  <si>
    <t>Register - DB connection error</t>
  </si>
  <si>
    <t>DEF-001</t>
  </si>
  <si>
    <t>2025-12-11</t>
  </si>
  <si>
    <t>MongoDB timeout not handled gracefully</t>
  </si>
  <si>
    <t>TC-USER-006</t>
  </si>
  <si>
    <t>Login with valid credentials</t>
  </si>
  <si>
    <t>TC-USER-007</t>
  </si>
  <si>
    <t>Login with non-existent user</t>
  </si>
  <si>
    <t>TC-USER-008</t>
  </si>
  <si>
    <t>Login with wrong password</t>
  </si>
  <si>
    <t>TC-FOOD-001</t>
  </si>
  <si>
    <t>Add food with valid data</t>
  </si>
  <si>
    <t>2025-12-12</t>
  </si>
  <si>
    <t>TC-FOOD-002</t>
  </si>
  <si>
    <t>Add food without image</t>
  </si>
  <si>
    <t>TC-FOOD-003</t>
  </si>
  <si>
    <t>Add food with invalid file type</t>
  </si>
  <si>
    <t>TC-FOOD-004</t>
  </si>
  <si>
    <t>Add food - Transaction rollback</t>
  </si>
  <si>
    <t>DEF-002</t>
  </si>
  <si>
    <t>Image not deleted when DB save fails</t>
  </si>
  <si>
    <t>TC-FOOD-005</t>
  </si>
  <si>
    <t>List all foods</t>
  </si>
  <si>
    <t>TC-FOOD-006</t>
  </si>
  <si>
    <t>List foods - DB error</t>
  </si>
  <si>
    <t>TC-FOOD-007</t>
  </si>
  <si>
    <t>Remove food - Atomic deletion</t>
  </si>
  <si>
    <t>TC-FOOD-008</t>
  </si>
  <si>
    <t>Serve image file</t>
  </si>
  <si>
    <t>TC-CART-001</t>
  </si>
  <si>
    <t>Add new item to cart</t>
  </si>
  <si>
    <t>2025-12-13</t>
  </si>
  <si>
    <t>TC-CART-002</t>
  </si>
  <si>
    <t>Add existing item</t>
  </si>
  <si>
    <t>TC-CART-003</t>
  </si>
  <si>
    <t>Add without authentication</t>
  </si>
  <si>
    <t>TC-CART-004</t>
  </si>
  <si>
    <t>Remove item - Decrement</t>
  </si>
  <si>
    <t>TC-CART-005</t>
  </si>
  <si>
    <t>Remove item - Zero boundary</t>
  </si>
  <si>
    <t>TC-CART-006</t>
  </si>
  <si>
    <t>Cart operations atomicity</t>
  </si>
  <si>
    <t>TC-CART-007</t>
  </si>
  <si>
    <t>Get cart data</t>
  </si>
  <si>
    <t>TC-ORDER-001</t>
  </si>
  <si>
    <t>Place order successfully</t>
  </si>
  <si>
    <t>2025-12-14</t>
  </si>
  <si>
    <t>TC-ORDER-002</t>
  </si>
  <si>
    <t>Place order - Cart clearing</t>
  </si>
  <si>
    <t>TC-ORDER-003</t>
  </si>
  <si>
    <t>Stripe session creation</t>
  </si>
  <si>
    <t>Stripe API key not configured in test env</t>
  </si>
  <si>
    <t>TC-ORDER-004</t>
  </si>
  <si>
    <t>Stripe connection timeout</t>
  </si>
  <si>
    <t>DEF-003</t>
  </si>
  <si>
    <t>2025-12-15</t>
  </si>
  <si>
    <t>No retry mechanism implemented</t>
  </si>
  <si>
    <t>TC-ORDER-005</t>
  </si>
  <si>
    <t>Stripe retry logic</t>
  </si>
  <si>
    <t>Depends on TC-ORDER-003</t>
  </si>
  <si>
    <t>TC-ORDER-006</t>
  </si>
  <si>
    <t>Payment verification - Success</t>
  </si>
  <si>
    <t>TC-ORDER-007</t>
  </si>
  <si>
    <t>Payment verification - Cancel</t>
  </si>
  <si>
    <t>TC-ORDER-008</t>
  </si>
  <si>
    <t>Payment - Transaction rollback</t>
  </si>
  <si>
    <t>DEF-004</t>
  </si>
  <si>
    <t>Orphan order record found</t>
  </si>
  <si>
    <t>TC-ORDER-009</t>
  </si>
  <si>
    <t>Get user orders</t>
  </si>
  <si>
    <t>TC-ORDER-010</t>
  </si>
  <si>
    <t>Update order status</t>
  </si>
  <si>
    <t>TC-STATIC-001</t>
  </si>
  <si>
    <t>Serve existing image</t>
  </si>
  <si>
    <t>2025-12-16</t>
  </si>
  <si>
    <t>TC-STATIC-002</t>
  </si>
  <si>
    <t>404 for non-existent image</t>
  </si>
  <si>
    <t>Low priority - time constraint</t>
  </si>
  <si>
    <t>Insert above</t>
  </si>
  <si>
    <t>Total executed TC / Total TC</t>
  </si>
  <si>
    <t>Defect Refefence</t>
  </si>
  <si>
    <t>Test Cases</t>
  </si>
  <si>
    <t>Last update:</t>
  </si>
  <si>
    <t>TC_DI_01</t>
  </si>
  <si>
    <t>TC_DI_02</t>
  </si>
  <si>
    <t>TC_DI_03</t>
  </si>
  <si>
    <t>TC_DI_04</t>
  </si>
  <si>
    <t>TC_DI_05</t>
  </si>
  <si>
    <t>TC_DC_01</t>
  </si>
  <si>
    <t>TC_DC_02</t>
  </si>
  <si>
    <t>TC_DC_03</t>
  </si>
  <si>
    <t>TC_DC_04</t>
  </si>
  <si>
    <t>TC_DC_05</t>
  </si>
  <si>
    <t>TC_BC_01</t>
  </si>
  <si>
    <t>TC_BC_02</t>
  </si>
  <si>
    <t>TC_BC_04</t>
  </si>
  <si>
    <t>TC_BC_05</t>
  </si>
  <si>
    <t>TC_BC_06</t>
  </si>
  <si>
    <t>TC_BC_07</t>
  </si>
  <si>
    <t>TC_OSC_01</t>
  </si>
  <si>
    <t>TC_OSC_02</t>
  </si>
  <si>
    <t>TC_OSC_03</t>
  </si>
  <si>
    <t>TC_OSC_04</t>
  </si>
  <si>
    <t>TC_OSC_05</t>
  </si>
  <si>
    <t>TC_OSC_06</t>
  </si>
  <si>
    <t>PT_LD_01</t>
  </si>
  <si>
    <t>PT_LD_02</t>
  </si>
  <si>
    <t>PT_CN_01</t>
  </si>
  <si>
    <t>PT_ST_01</t>
  </si>
  <si>
    <t>PT_ST_02</t>
  </si>
  <si>
    <t>PT_RC_01</t>
  </si>
  <si>
    <t>N/A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</si>
  <si>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</si>
  <si>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</si>
  <si>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</si>
  <si>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</si>
  <si>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</si>
  <si>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</si>
  <si>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</si>
  <si>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</si>
  <si>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</si>
  <si>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</si>
  <si>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</si>
  <si>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</si>
  <si>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</si>
  <si>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Functional Testing - Cycle 1</t>
  </si>
  <si>
    <t>29(100%)</t>
  </si>
  <si>
    <t>FORM FUNCTIONALITY</t>
  </si>
  <si>
    <t>TC_FORM_01</t>
  </si>
  <si>
    <t>Add new data using form</t>
  </si>
  <si>
    <t>Dieu Linh</t>
  </si>
  <si>
    <t>16/12/2025</t>
  </si>
  <si>
    <t>Form UI verification</t>
  </si>
  <si>
    <t>TC_FORM_02</t>
  </si>
  <si>
    <t>Submit form with valid data</t>
  </si>
  <si>
    <t>Valid form submission</t>
  </si>
  <si>
    <t>29/29</t>
  </si>
  <si>
    <t>TC_FORM_03</t>
  </si>
  <si>
    <t>Submit form with empty required fields</t>
  </si>
  <si>
    <t>Required field validation</t>
  </si>
  <si>
    <t>TC_FORM_04</t>
  </si>
  <si>
    <t>Submit form with invalid data format</t>
  </si>
  <si>
    <t>Data format validation</t>
  </si>
  <si>
    <t>TC_FORM_05</t>
  </si>
  <si>
    <t>Verify error message when invalid input is entered</t>
  </si>
  <si>
    <t>Error message display</t>
  </si>
  <si>
    <t>TC_FORM_06</t>
  </si>
  <si>
    <t>Verify data is saved after form submission</t>
  </si>
  <si>
    <t>Data persistence</t>
  </si>
  <si>
    <t>TC_FORM_07</t>
  </si>
  <si>
    <t>Create operation</t>
  </si>
  <si>
    <t>TC_FORM_08</t>
  </si>
  <si>
    <t>Update existing data using form</t>
  </si>
  <si>
    <t>Update operation</t>
  </si>
  <si>
    <t>TC_FORM_09</t>
  </si>
  <si>
    <t>View data details in form</t>
  </si>
  <si>
    <t>Read operation</t>
  </si>
  <si>
    <t>TC_FORM_10</t>
  </si>
  <si>
    <t>Delete data using form</t>
  </si>
  <si>
    <t>Delete operation</t>
  </si>
  <si>
    <t>LINK TESTING</t>
  </si>
  <si>
    <t>TC_LINK_01</t>
  </si>
  <si>
    <t>Verify all internal links navigate to correct pages</t>
  </si>
  <si>
    <t>Customer1</t>
  </si>
  <si>
    <t>Internal link navigation</t>
  </si>
  <si>
    <t>TC_LINK_02</t>
  </si>
  <si>
    <t>Verify internal links work from different pages</t>
  </si>
  <si>
    <t>Internal link consistency</t>
  </si>
  <si>
    <t>TC_LINK_03</t>
  </si>
  <si>
    <t>Verify external links (Stripe API) are accessible</t>
  </si>
  <si>
    <t>External link integration</t>
  </si>
  <si>
    <t>TC_LINK_04</t>
  </si>
  <si>
    <t>Verify external links open correct external resources</t>
  </si>
  <si>
    <t>External link validation</t>
  </si>
  <si>
    <t>TC_LINK_05</t>
  </si>
  <si>
    <t>Verify system does not contain broken internal links</t>
  </si>
  <si>
    <t>Broken link check</t>
  </si>
  <si>
    <t>TC_LINK_06</t>
  </si>
  <si>
    <t>Verify system handles unreachable external links gracefully</t>
  </si>
  <si>
    <t>External link failure handling</t>
  </si>
  <si>
    <t>TC_LINK_07</t>
  </si>
  <si>
    <t>Verify access to non-existing pages is prevented</t>
  </si>
  <si>
    <t>Invalid page access</t>
  </si>
  <si>
    <t>TC_LINK_08</t>
  </si>
  <si>
    <t>Verify system redirects user when accessing invalid pages</t>
  </si>
  <si>
    <t>Page access control</t>
  </si>
  <si>
    <t>TC_LINK_09</t>
  </si>
  <si>
    <t>BUSINESS WORKFLOW</t>
  </si>
  <si>
    <t>TC_BW_01</t>
  </si>
  <si>
    <t>Verify end-to-end order workflow</t>
  </si>
  <si>
    <t>End-to-End workflow</t>
  </si>
  <si>
    <t>TC_BW_02</t>
  </si>
  <si>
    <t>Verify workflow from login to successful payment</t>
  </si>
  <si>
    <t>Full business flow</t>
  </si>
  <si>
    <t>TC_BW_03</t>
  </si>
  <si>
    <t>Verify data consistency across pages</t>
  </si>
  <si>
    <t>Data consistency</t>
  </si>
  <si>
    <t>TC_BW_04</t>
  </si>
  <si>
    <t>Verify data consistency after page refresh</t>
  </si>
  <si>
    <t>State persistence</t>
  </si>
  <si>
    <t>TC_BW_05</t>
  </si>
  <si>
    <t>Verify system behavior when payment is cancelled</t>
  </si>
  <si>
    <t>Interrupted workflow</t>
  </si>
  <si>
    <t>TC_BW_06</t>
  </si>
  <si>
    <t>Verify workflow when user navigates back during checkout</t>
  </si>
  <si>
    <t>Navigation handling</t>
  </si>
  <si>
    <t>TC_BW_07</t>
  </si>
  <si>
    <t>Verify system prevents duplicate orders on repeated payment</t>
  </si>
  <si>
    <t>Duplicate prevention</t>
  </si>
  <si>
    <t>TC_BW_08</t>
  </si>
  <si>
    <t>Verify redirection after successful login</t>
  </si>
  <si>
    <t>Redirect validation</t>
  </si>
  <si>
    <t>TC_BW_09</t>
  </si>
  <si>
    <t>Verify redirection after successful payment</t>
  </si>
  <si>
    <t>Post-payment redirect</t>
  </si>
  <si>
    <t>TC_BW_10</t>
  </si>
  <si>
    <t>Verify redirection when accessing protected pages</t>
  </si>
  <si>
    <t>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</si>
</sst>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[$-409]d\-mmm\-yy;@"/>
  </numFmts>
  <fonts count="29">
    <font>
      <sz val="12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b/>
      <sz val="28"/>
      <color indexed="54"/>
      <name val="Arial"/>
      <family val="2"/>
    </font>
    <font>
      <b/>
      <sz val="12"/>
      <color indexed="9"/>
      <name val="Arial"/>
      <family val="2"/>
    </font>
    <font>
      <sz val="14"/>
      <color indexed="54"/>
      <name val="Arial"/>
      <family val="2"/>
    </font>
    <font>
      <sz val="24"/>
      <color indexed="9"/>
      <name val="Arial"/>
      <family val="2"/>
    </font>
    <font>
      <b/>
      <i/>
      <sz val="10"/>
      <color indexed="9"/>
      <name val="Arial"/>
      <family val="2"/>
    </font>
    <font>
      <b/>
      <i/>
      <sz val="10"/>
      <color indexed="12"/>
      <name val="Arial"/>
      <family val="2"/>
    </font>
    <font>
      <i/>
      <sz val="10"/>
      <color indexed="12"/>
      <name val="Arial"/>
      <family val="2"/>
    </font>
    <font>
      <b/>
      <i/>
      <u/>
      <sz val="10"/>
      <color indexed="12"/>
      <name val="Arial"/>
      <family val="2"/>
    </font>
    <font>
      <b/>
      <i/>
      <sz val="10"/>
      <color indexed="12"/>
      <name val="Arial"/>
      <family val="2"/>
    </font>
    <font>
      <i/>
      <sz val="10"/>
      <color indexed="10"/>
      <name val="Arial"/>
      <family val="2"/>
    </font>
    <font>
      <sz val="10.5"/>
      <name val="Times New"/>
      <family val="1"/>
    </font>
    <font>
      <sz val="12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10"/>
      <color indexed="81"/>
      <name val="Tahoma"/>
      <family val="2"/>
    </font>
    <font>
      <b/>
      <sz val="11"/>
      <color rgb="FFFFFFFF"/>
      <name val="Arial"/>
      <family val="2"/>
    </font>
    <font>
      <sz val="14"/>
      <name val="ＭＳ Ｐゴシック"/>
      <family val="3"/>
      <charset val="128"/>
    </font>
    <font>
      <b/>
      <sz val="10"/>
      <color rgb="FF000000"/>
      <name val="Tahoma"/>
      <family val="2"/>
    </font>
    <font>
      <sz val="12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/>
    <xf numFmtId="0" fontId="0" fillId="3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6" fillId="4" borderId="0" xfId="0" applyFont="1" applyFill="1"/>
    <xf numFmtId="0" fontId="0" fillId="4" borderId="0" xfId="0" applyFill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0" fontId="11" fillId="4" borderId="0" xfId="0" applyFont="1" applyFill="1"/>
    <xf numFmtId="0" fontId="0" fillId="2" borderId="0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/>
    <xf numFmtId="0" fontId="9" fillId="4" borderId="2" xfId="0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2" fillId="0" borderId="0" xfId="5" applyFont="1"/>
    <xf numFmtId="0" fontId="2" fillId="0" borderId="0" xfId="5" applyNumberFormat="1" applyFont="1" applyAlignment="1"/>
    <xf numFmtId="0" fontId="5" fillId="0" borderId="0" xfId="5" applyFont="1"/>
    <xf numFmtId="0" fontId="12" fillId="7" borderId="4" xfId="5" applyFont="1" applyFill="1" applyBorder="1" applyAlignment="1">
      <alignment horizontal="left" wrapText="1"/>
    </xf>
    <xf numFmtId="0" fontId="2" fillId="8" borderId="4" xfId="5" applyFont="1" applyFill="1" applyBorder="1" applyAlignment="1">
      <alignment wrapText="1"/>
    </xf>
    <xf numFmtId="0" fontId="2" fillId="8" borderId="0" xfId="5" applyFill="1"/>
    <xf numFmtId="0" fontId="4" fillId="9" borderId="0" xfId="5" applyFont="1" applyFill="1" applyAlignment="1">
      <alignment vertical="center" wrapText="1"/>
    </xf>
    <xf numFmtId="0" fontId="4" fillId="0" borderId="0" xfId="5" applyFont="1" applyFill="1" applyAlignment="1">
      <alignment vertical="center" wrapText="1"/>
    </xf>
    <xf numFmtId="0" fontId="4" fillId="0" borderId="0" xfId="5" applyFont="1" applyAlignment="1">
      <alignment vertical="center" wrapText="1"/>
    </xf>
    <xf numFmtId="0" fontId="3" fillId="0" borderId="0" xfId="5" applyFont="1" applyAlignment="1">
      <alignment horizontal="justify" vertical="center" wrapText="1"/>
    </xf>
    <xf numFmtId="0" fontId="4" fillId="0" borderId="4" xfId="5" applyFont="1" applyBorder="1" applyAlignment="1">
      <alignment vertical="center" wrapText="1"/>
    </xf>
    <xf numFmtId="0" fontId="4" fillId="0" borderId="4" xfId="5" applyFont="1" applyBorder="1" applyAlignment="1">
      <alignment horizontal="justify" vertical="center" wrapText="1"/>
    </xf>
    <xf numFmtId="49" fontId="4" fillId="0" borderId="4" xfId="5" applyNumberFormat="1" applyFont="1" applyBorder="1" applyAlignment="1">
      <alignment horizontal="justify" vertical="center" wrapText="1"/>
    </xf>
    <xf numFmtId="0" fontId="4" fillId="3" borderId="4" xfId="5" applyFont="1" applyFill="1" applyBorder="1" applyAlignment="1">
      <alignment horizontal="justify" vertical="center" wrapText="1"/>
    </xf>
    <xf numFmtId="15" fontId="4" fillId="0" borderId="4" xfId="5" applyNumberFormat="1" applyFont="1" applyBorder="1" applyAlignment="1">
      <alignment horizontal="left" vertical="center" wrapText="1"/>
    </xf>
    <xf numFmtId="49" fontId="4" fillId="0" borderId="0" xfId="5" applyNumberFormat="1" applyFont="1" applyBorder="1" applyAlignment="1">
      <alignment horizontal="justify" vertical="center" wrapText="1"/>
    </xf>
    <xf numFmtId="15" fontId="4" fillId="0" borderId="0" xfId="5" applyNumberFormat="1" applyFont="1" applyBorder="1" applyAlignment="1">
      <alignment horizontal="left" vertical="center" wrapText="1"/>
    </xf>
    <xf numFmtId="0" fontId="4" fillId="0" borderId="0" xfId="5" applyFont="1" applyBorder="1" applyAlignment="1">
      <alignment horizontal="justify" vertical="center" wrapText="1"/>
    </xf>
    <xf numFmtId="0" fontId="16" fillId="0" borderId="0" xfId="5" applyFont="1" applyAlignment="1">
      <alignment horizontal="justify"/>
    </xf>
    <xf numFmtId="0" fontId="14" fillId="0" borderId="0" xfId="5" applyFont="1" applyAlignment="1"/>
    <xf numFmtId="0" fontId="16" fillId="0" borderId="0" xfId="5" applyFont="1" applyAlignment="1"/>
    <xf numFmtId="0" fontId="17" fillId="0" borderId="0" xfId="5" applyFont="1" applyAlignment="1"/>
    <xf numFmtId="0" fontId="2" fillId="0" borderId="0" xfId="4" applyFont="1" applyAlignment="1">
      <alignment vertical="center" wrapText="1"/>
    </xf>
    <xf numFmtId="0" fontId="1" fillId="0" borderId="0" xfId="4" applyFont="1" applyAlignment="1">
      <alignment vertical="center" wrapText="1"/>
    </xf>
    <xf numFmtId="0" fontId="2" fillId="0" borderId="4" xfId="4" applyFont="1" applyBorder="1" applyAlignment="1">
      <alignment vertical="center" wrapText="1"/>
    </xf>
    <xf numFmtId="0" fontId="2" fillId="0" borderId="4" xfId="4" applyFont="1" applyBorder="1" applyAlignment="1">
      <alignment horizontal="justify" vertical="center" wrapText="1"/>
    </xf>
    <xf numFmtId="0" fontId="2" fillId="0" borderId="0" xfId="4" applyFont="1" applyFill="1" applyBorder="1" applyAlignment="1">
      <alignment vertical="center"/>
    </xf>
    <xf numFmtId="0" fontId="18" fillId="0" borderId="0" xfId="4" applyFont="1" applyAlignment="1">
      <alignment horizontal="justify"/>
    </xf>
    <xf numFmtId="0" fontId="12" fillId="7" borderId="4" xfId="0" applyFont="1" applyFill="1" applyBorder="1" applyAlignment="1">
      <alignment horizontal="left" wrapText="1"/>
    </xf>
    <xf numFmtId="0" fontId="20" fillId="15" borderId="0" xfId="0" applyFont="1" applyFill="1"/>
    <xf numFmtId="0" fontId="7" fillId="0" borderId="0" xfId="0" applyFont="1"/>
    <xf numFmtId="0" fontId="20" fillId="15" borderId="4" xfId="0" applyFont="1" applyFill="1" applyBorder="1"/>
    <xf numFmtId="0" fontId="0" fillId="0" borderId="4" xfId="0" applyBorder="1"/>
    <xf numFmtId="0" fontId="25" fillId="16" borderId="4" xfId="0" applyFont="1" applyFill="1" applyBorder="1" applyAlignment="1">
      <alignment horizontal="center" wrapText="1"/>
    </xf>
    <xf numFmtId="0" fontId="0" fillId="17" borderId="4" xfId="0" applyFill="1" applyBorder="1"/>
    <xf numFmtId="0" fontId="0" fillId="17" borderId="4" xfId="0" applyFill="1" applyBorder="1" applyAlignment="1">
      <alignment vertical="top" wrapText="1"/>
    </xf>
    <xf numFmtId="0" fontId="0" fillId="18" borderId="4" xfId="0" applyFill="1" applyBorder="1"/>
    <xf numFmtId="0" fontId="0" fillId="18" borderId="4" xfId="0" applyFill="1" applyBorder="1" applyAlignment="1">
      <alignment vertical="top" wrapText="1"/>
    </xf>
    <xf numFmtId="0" fontId="0" fillId="19" borderId="4" xfId="0" applyFill="1" applyBorder="1"/>
    <xf numFmtId="0" fontId="0" fillId="19" borderId="4" xfId="0" applyFill="1" applyBorder="1" applyAlignment="1">
      <alignment vertical="top" wrapText="1"/>
    </xf>
    <xf numFmtId="0" fontId="0" fillId="20" borderId="4" xfId="0" applyFill="1" applyBorder="1"/>
    <xf numFmtId="0" fontId="0" fillId="20" borderId="4" xfId="0" applyFill="1" applyBorder="1" applyAlignment="1">
      <alignment vertical="top" wrapText="1"/>
    </xf>
    <xf numFmtId="0" fontId="2" fillId="8" borderId="4" xfId="5" applyFill="1" applyBorder="1"/>
    <xf numFmtId="0" fontId="2" fillId="10" borderId="4" xfId="5" applyFill="1" applyBorder="1" applyAlignment="1">
      <alignment horizontal="left" indent="1"/>
    </xf>
    <xf numFmtId="0" fontId="2" fillId="11" borderId="4" xfId="5" applyFill="1" applyBorder="1" applyAlignment="1">
      <alignment horizontal="right"/>
    </xf>
    <xf numFmtId="0" fontId="3" fillId="12" borderId="4" xfId="5" applyFont="1" applyFill="1" applyBorder="1" applyAlignment="1">
      <alignment horizontal="center" vertical="center" wrapText="1"/>
    </xf>
    <xf numFmtId="194" fontId="22" fillId="13" borderId="0" xfId="2" applyNumberFormat="1" applyFont="1" applyFill="1" applyAlignment="1" applyProtection="1">
      <alignment horizontal="center" vertical="center"/>
      <protection locked="0"/>
    </xf>
    <xf numFmtId="0" fontId="23" fillId="8" borderId="0" xfId="2" applyFont="1" applyFill="1" applyAlignment="1">
      <alignment horizontal="righ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0" xfId="5" applyNumberFormat="1" applyFont="1" applyFill="1" applyBorder="1" applyAlignment="1">
      <alignment horizontal="left" wrapText="1"/>
    </xf>
    <xf numFmtId="0" fontId="13" fillId="0" borderId="0" xfId="5" applyNumberFormat="1" applyFont="1" applyFill="1" applyBorder="1" applyAlignment="1">
      <alignment horizontal="left" wrapText="1"/>
    </xf>
    <xf numFmtId="0" fontId="1" fillId="3" borderId="4" xfId="4" applyFont="1" applyFill="1" applyBorder="1" applyAlignment="1">
      <alignment horizontal="left" vertical="center" wrapText="1"/>
    </xf>
    <xf numFmtId="0" fontId="21" fillId="3" borderId="9" xfId="5" applyFont="1" applyFill="1" applyBorder="1" applyAlignment="1">
      <alignment horizontal="left"/>
    </xf>
    <xf numFmtId="0" fontId="21" fillId="3" borderId="10" xfId="5" applyFont="1" applyFill="1" applyBorder="1" applyAlignment="1">
      <alignment horizontal="left"/>
    </xf>
    <xf numFmtId="0" fontId="21" fillId="3" borderId="11" xfId="5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/>
    <xf numFmtId="0" fontId="3" fillId="0" borderId="0" xfId="5" applyFont="1" applyAlignment="1">
      <alignment horizontal="justify" vertical="center" wrapText="1"/>
    </xf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/>
    </xf>
    <xf numFmtId="0" fontId="8" fillId="2" borderId="12" xfId="3" applyFont="1" applyFill="1" applyBorder="1" applyAlignment="1">
      <alignment horizontal="left"/>
    </xf>
    <xf numFmtId="0" fontId="0" fillId="0" borderId="13" xfId="0" applyBorder="1" applyAlignment="1"/>
    <xf numFmtId="0" fontId="10" fillId="2" borderId="14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wrapText="1"/>
    </xf>
    <xf numFmtId="0" fontId="26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2" fillId="8" borderId="4" xfId="5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2" fillId="8" borderId="0" xfId="5" applyFill="1" applyAlignment="1">
      <alignment horizontal="left" vertical="center"/>
    </xf>
    <xf numFmtId="0" fontId="2" fillId="11" borderId="4" xfId="5" applyFill="1" applyBorder="1" applyAlignment="1">
      <alignment horizontal="left" vertical="center"/>
    </xf>
    <xf numFmtId="0" fontId="25" fillId="16" borderId="4" xfId="0" applyFont="1" applyFill="1" applyBorder="1" applyAlignment="1">
      <alignment horizontal="center" vertical="center" wrapText="1"/>
    </xf>
    <xf numFmtId="0" fontId="7" fillId="21" borderId="9" xfId="0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0" fontId="7" fillId="21" borderId="1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top" wrapText="1"/>
    </xf>
    <xf numFmtId="0" fontId="0" fillId="0" borderId="15" xfId="0" applyBorder="1"/>
    <xf numFmtId="0" fontId="7" fillId="21" borderId="9" xfId="0" applyFont="1" applyFill="1" applyBorder="1" applyAlignment="1">
      <alignment horizontal="center"/>
    </xf>
    <xf numFmtId="0" fontId="7" fillId="21" borderId="10" xfId="0" applyFont="1" applyFill="1" applyBorder="1" applyAlignment="1">
      <alignment horizontal="center"/>
    </xf>
    <xf numFmtId="0" fontId="7" fillId="21" borderId="16" xfId="0" applyFont="1" applyFill="1" applyBorder="1" applyAlignment="1">
      <alignment horizontal="center"/>
    </xf>
    <xf numFmtId="0" fontId="0" fillId="0" borderId="15" xfId="0" applyBorder="1" applyAlignment="1">
      <alignment vertical="top" wrapText="1"/>
    </xf>
    <xf numFmtId="0" fontId="0" fillId="20" borderId="4" xfId="0" applyFill="1" applyBorder="1" applyAlignment="1">
      <alignment vertical="center"/>
    </xf>
  </cellXfs>
  <cellStyles count="6">
    <cellStyle name="Nor}al" xfId="1" xr:uid="{37F8C628-9DAC-EB4B-8315-CC321F717CDD}"/>
    <cellStyle name="Normal" xfId="0" builtinId="0"/>
    <cellStyle name="Normal 2" xfId="2" xr:uid="{C3B84142-FA63-AC45-AC57-1DA7C6F84842}"/>
    <cellStyle name="Normal_Issues - Defects - Dependencies - Risks - CDR - PLDDR - P3625" xfId="3" xr:uid="{6B02D5D6-D4D7-814C-BFAC-A7C120B85C8A}"/>
    <cellStyle name="Normal_Tailoring Decisions" xfId="4" xr:uid="{D06AD461-89A5-BB4C-AF90-22E8103EED0D}"/>
    <cellStyle name="Normal_Test Execution___" xfId="5" xr:uid="{FF1FD625-E3DE-2A48-AD76-EECC9B2CB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'Interface Execution'!$L$9:$L$12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'Interface Execution'!$M$9:$M$12</c:f>
              <c:numCache>
                <c:formatCode>General</c:formatCode>
                <c:ptCount val="4"/>
                <c:pt idx="0">
                  <c:v>28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F-D849-9A81-6AEBAFF25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Functional!$J$16:$J$20</c:f>
              <c:strCache>
                <c:ptCount val="5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  <c:pt idx="4">
                  <c:v>Total executed TC / Total TC</c:v>
                </c:pt>
              </c:strCache>
            </c:strRef>
          </c:cat>
          <c:val>
            <c:numRef>
              <c:f>Functional!$K$16:$K$20</c:f>
              <c:numCache>
                <c:formatCode>General</c:formatCode>
                <c:ptCount val="5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8-1C4E-A59F-8DB9A2D4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Test Execution Result</a:t>
            </a:r>
          </a:p>
        </c:rich>
      </c:tx>
      <c:layout>
        <c:manualLayout>
          <c:xMode val="edge"/>
          <c:yMode val="edge"/>
          <c:x val="0.35960012835386174"/>
          <c:y val="1.49818690426854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043836558079792E-2"/>
          <c:y val="5.9927134800162492E-2"/>
          <c:w val="0.77057166252184439"/>
          <c:h val="0.8427253331272850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26F9-FC4E-BC35-4752CE2F53A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F9-FC4E-BC35-4752CE2F53A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F9-FC4E-BC35-4752CE2F53A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F9-FC4E-BC35-4752CE2F53AF}"/>
              </c:ext>
            </c:extLst>
          </c:dPt>
          <c:dLbls>
            <c:dLbl>
              <c:idx val="0"/>
              <c:layout>
                <c:manualLayout>
                  <c:x val="-0.19897057077245728"/>
                  <c:y val="9.9694073868050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F9-FC4E-BC35-4752CE2F53AF}"/>
                </c:ext>
              </c:extLst>
            </c:dLbl>
            <c:dLbl>
              <c:idx val="1"/>
              <c:layout>
                <c:manualLayout>
                  <c:x val="-4.5043714273736102E-2"/>
                  <c:y val="-0.211406195742934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F9-FC4E-BC35-4752CE2F53AF}"/>
                </c:ext>
              </c:extLst>
            </c:dLbl>
            <c:dLbl>
              <c:idx val="2"/>
              <c:layout>
                <c:manualLayout>
                  <c:x val="0.16819453859424069"/>
                  <c:y val="-0.113946262521451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F9-FC4E-BC35-4752CE2F53AF}"/>
                </c:ext>
              </c:extLst>
            </c:dLbl>
            <c:dLbl>
              <c:idx val="3"/>
              <c:layout>
                <c:manualLayout>
                  <c:x val="0.13946059302841191"/>
                  <c:y val="0.1173134241802419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F9-FC4E-BC35-4752CE2F53A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Compatibility!$G$4:$G$7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</c:strCache>
            </c:strRef>
          </c:cat>
          <c:val>
            <c:numRef>
              <c:f>Compatibility!$H$4:$H$7</c:f>
              <c:numCache>
                <c:formatCode>General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F9-FC4E-BC35-4752CE2F5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4796238244514107E-2"/>
          <c:y val="0.92887052769719569"/>
          <c:w val="0.91098684372917338"/>
          <c:h val="6.36726412487912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Test Execution Result</a:t>
            </a:r>
          </a:p>
        </c:rich>
      </c:tx>
      <c:layout>
        <c:manualLayout>
          <c:xMode val="edge"/>
          <c:yMode val="edge"/>
          <c:x val="0.35960012835386174"/>
          <c:y val="1.49817302248983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043836558079792E-2"/>
          <c:y val="5.9927134800162492E-2"/>
          <c:w val="0.77057166252184439"/>
          <c:h val="0.8427253331272850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81A-0243-A7E7-C9E3FC0D564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1A-0243-A7E7-C9E3FC0D564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81A-0243-A7E7-C9E3FC0D564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1A-0243-A7E7-C9E3FC0D564F}"/>
              </c:ext>
            </c:extLst>
          </c:dPt>
          <c:dLbls>
            <c:dLbl>
              <c:idx val="0"/>
              <c:layout>
                <c:manualLayout>
                  <c:x val="-0.19897057077245728"/>
                  <c:y val="9.9694073868050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A-0243-A7E7-C9E3FC0D564F}"/>
                </c:ext>
              </c:extLst>
            </c:dLbl>
            <c:dLbl>
              <c:idx val="1"/>
              <c:layout>
                <c:manualLayout>
                  <c:x val="-4.5043714273736102E-2"/>
                  <c:y val="-0.211406195742934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A-0243-A7E7-C9E3FC0D564F}"/>
                </c:ext>
              </c:extLst>
            </c:dLbl>
            <c:dLbl>
              <c:idx val="2"/>
              <c:layout>
                <c:manualLayout>
                  <c:x val="0.16819453859424069"/>
                  <c:y val="-0.113946262521451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1A-0243-A7E7-C9E3FC0D564F}"/>
                </c:ext>
              </c:extLst>
            </c:dLbl>
            <c:dLbl>
              <c:idx val="3"/>
              <c:layout>
                <c:manualLayout>
                  <c:x val="0.13946059302841191"/>
                  <c:y val="0.1173134241802419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1A-0243-A7E7-C9E3FC0D564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Database!$G$4:$G$7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N/A</c:v>
                </c:pt>
                <c:pt idx="3">
                  <c:v>Blocked</c:v>
                </c:pt>
              </c:strCache>
            </c:strRef>
          </c:cat>
          <c:val>
            <c:numRef>
              <c:f>Database!$H$4:$H$7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1A-0243-A7E7-C9E3FC0D5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4796238244514107E-2"/>
          <c:y val="0.9288705333401952"/>
          <c:w val="0.91098684372917338"/>
          <c:h val="6.36726536633901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Test Execution Result</a:t>
            </a:r>
          </a:p>
        </c:rich>
      </c:tx>
      <c:layout>
        <c:manualLayout>
          <c:xMode val="edge"/>
          <c:yMode val="edge"/>
          <c:x val="0.35960012835386174"/>
          <c:y val="1.49817302248983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043836558079792E-2"/>
          <c:y val="5.9927134800162492E-2"/>
          <c:w val="0.77057166252184439"/>
          <c:h val="0.8427253331272850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342-3D42-B6B2-87A4337F726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342-3D42-B6B2-87A4337F726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342-3D42-B6B2-87A4337F726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342-3D42-B6B2-87A4337F7268}"/>
              </c:ext>
            </c:extLst>
          </c:dPt>
          <c:dLbls>
            <c:dLbl>
              <c:idx val="0"/>
              <c:layout>
                <c:manualLayout>
                  <c:x val="-0.19897057077245728"/>
                  <c:y val="9.9694073868050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2-3D42-B6B2-87A4337F7268}"/>
                </c:ext>
              </c:extLst>
            </c:dLbl>
            <c:dLbl>
              <c:idx val="1"/>
              <c:layout>
                <c:manualLayout>
                  <c:x val="-4.5043714273736102E-2"/>
                  <c:y val="-0.211406195742934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2-3D42-B6B2-87A4337F7268}"/>
                </c:ext>
              </c:extLst>
            </c:dLbl>
            <c:dLbl>
              <c:idx val="2"/>
              <c:layout>
                <c:manualLayout>
                  <c:x val="0.16819453859424069"/>
                  <c:y val="-0.113946262521451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42-3D42-B6B2-87A4337F7268}"/>
                </c:ext>
              </c:extLst>
            </c:dLbl>
            <c:dLbl>
              <c:idx val="3"/>
              <c:layout>
                <c:manualLayout>
                  <c:x val="0.13946059302841191"/>
                  <c:y val="0.1173134241802419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42-3D42-B6B2-87A4337F726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Usability!$G$4:$G$7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</c:strCache>
            </c:strRef>
          </c:cat>
          <c:val>
            <c:numRef>
              <c:f>Usability!$H$4:$H$7</c:f>
              <c:numCache>
                <c:formatCode>General</c:formatCode>
                <c:ptCount val="4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42-3D42-B6B2-87A4337F7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4796238244514107E-2"/>
          <c:y val="0.9288705333401952"/>
          <c:w val="0.91098684372917338"/>
          <c:h val="6.36726536633901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Test Execution Result</a:t>
            </a:r>
          </a:p>
        </c:rich>
      </c:tx>
      <c:layout>
        <c:manualLayout>
          <c:xMode val="edge"/>
          <c:yMode val="edge"/>
          <c:x val="0.35960012835386174"/>
          <c:y val="1.49817302248983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043836558079792E-2"/>
          <c:y val="5.9927134800162492E-2"/>
          <c:w val="0.77057166252184439"/>
          <c:h val="0.8427253331272850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6B2-254D-ACC8-1F8CFA9B0AA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6B2-254D-ACC8-1F8CFA9B0AA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6B2-254D-ACC8-1F8CFA9B0AA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6B2-254D-ACC8-1F8CFA9B0AA0}"/>
              </c:ext>
            </c:extLst>
          </c:dPt>
          <c:dLbls>
            <c:dLbl>
              <c:idx val="0"/>
              <c:layout>
                <c:manualLayout>
                  <c:x val="-0.19897057077245728"/>
                  <c:y val="9.96940738680508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B2-254D-ACC8-1F8CFA9B0AA0}"/>
                </c:ext>
              </c:extLst>
            </c:dLbl>
            <c:dLbl>
              <c:idx val="1"/>
              <c:layout>
                <c:manualLayout>
                  <c:x val="-4.5043714273736102E-2"/>
                  <c:y val="-0.211406195742934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B2-254D-ACC8-1F8CFA9B0AA0}"/>
                </c:ext>
              </c:extLst>
            </c:dLbl>
            <c:dLbl>
              <c:idx val="2"/>
              <c:layout>
                <c:manualLayout>
                  <c:x val="0.16819453859424069"/>
                  <c:y val="-0.113946262521451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B2-254D-ACC8-1F8CFA9B0AA0}"/>
                </c:ext>
              </c:extLst>
            </c:dLbl>
            <c:dLbl>
              <c:idx val="3"/>
              <c:layout>
                <c:manualLayout>
                  <c:x val="0.13946059302841191"/>
                  <c:y val="0.1173134241802419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B2-254D-ACC8-1F8CFA9B0AA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Performance!$G$4:$G$7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</c:strCache>
            </c:strRef>
          </c:cat>
          <c:val>
            <c:numRef>
              <c:f>Performance!$H$4:$H$7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2-254D-ACC8-1F8CFA9B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4796238244514107E-2"/>
          <c:y val="0.9288705333401952"/>
          <c:w val="0.91098684372917338"/>
          <c:h val="6.36726536633901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215900</xdr:colOff>
      <xdr:row>21</xdr:row>
      <xdr:rowOff>120650</xdr:rowOff>
    </xdr:from>
    <xdr:to>
      <xdr:col>18</xdr:col>
      <xdr:colOff>584200</xdr:colOff>
      <xdr:row>37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1FAC6-29F5-F1B1-EF20-DEDC1EA25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444500</xdr:colOff>
      <xdr:row>22</xdr:row>
      <xdr:rowOff>120650</xdr:rowOff>
    </xdr:from>
    <xdr:to>
      <xdr:col>14</xdr:col>
      <xdr:colOff>0</xdr:colOff>
      <xdr:row>32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AD939A-AA26-A414-CB75-FC55AAFC4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7</xdr:row>
      <xdr:rowOff>127000</xdr:rowOff>
    </xdr:from>
    <xdr:to>
      <xdr:col>14</xdr:col>
      <xdr:colOff>558800</xdr:colOff>
      <xdr:row>39</xdr:row>
      <xdr:rowOff>139700</xdr:rowOff>
    </xdr:to>
    <xdr:graphicFrame macro="">
      <xdr:nvGraphicFramePr>
        <xdr:cNvPr id="93199" name="Chart 1">
          <a:extLst>
            <a:ext uri="{FF2B5EF4-FFF2-40B4-BE49-F238E27FC236}">
              <a16:creationId xmlns:a16="http://schemas.microsoft.com/office/drawing/2014/main" id="{32CD8021-7E3D-A7A3-DEFE-8132C21FF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7</xdr:row>
      <xdr:rowOff>127000</xdr:rowOff>
    </xdr:from>
    <xdr:to>
      <xdr:col>14</xdr:col>
      <xdr:colOff>558800</xdr:colOff>
      <xdr:row>39</xdr:row>
      <xdr:rowOff>139700</xdr:rowOff>
    </xdr:to>
    <xdr:graphicFrame macro="">
      <xdr:nvGraphicFramePr>
        <xdr:cNvPr id="58394" name="Chart 1">
          <a:extLst>
            <a:ext uri="{FF2B5EF4-FFF2-40B4-BE49-F238E27FC236}">
              <a16:creationId xmlns:a16="http://schemas.microsoft.com/office/drawing/2014/main" id="{46857E0F-1F71-A025-84FA-42A2E9EF4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7</xdr:row>
      <xdr:rowOff>127000</xdr:rowOff>
    </xdr:from>
    <xdr:to>
      <xdr:col>14</xdr:col>
      <xdr:colOff>558800</xdr:colOff>
      <xdr:row>39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2528F-36EE-7243-BBB0-13696753E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7</xdr:row>
      <xdr:rowOff>127000</xdr:rowOff>
    </xdr:from>
    <xdr:to>
      <xdr:col>14</xdr:col>
      <xdr:colOff>558800</xdr:colOff>
      <xdr:row>39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94BAA-B99D-9743-A1A5-96AA5F5E3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10985500</xdr:colOff>
          <xdr:row>0</xdr:row>
          <xdr:rowOff>25400</xdr:rowOff>
        </xdr:from>
        <xdr:to>
          <xdr:col>0</xdr:col>
          <xdr:colOff>787400</xdr:colOff>
          <xdr:row>0</xdr:row>
          <xdr:rowOff>406400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DDD4EF18-D939-6774-18A7-2DE36B889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88900</xdr:rowOff>
        </xdr:from>
        <xdr:to>
          <xdr:col>4</xdr:col>
          <xdr:colOff>0</xdr:colOff>
          <xdr:row>0</xdr:row>
          <xdr:rowOff>469900</xdr:rowOff>
        </xdr:to>
        <xdr:sp macro="" textlink="">
          <xdr:nvSpPr>
            <xdr:cNvPr id="26627" name="Object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66909327-4C25-B2A2-9100-D788ED8F7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10985500</xdr:colOff>
          <xdr:row>0</xdr:row>
          <xdr:rowOff>25400</xdr:rowOff>
        </xdr:from>
        <xdr:to>
          <xdr:col>0</xdr:col>
          <xdr:colOff>787400</xdr:colOff>
          <xdr:row>0</xdr:row>
          <xdr:rowOff>406400</xdr:rowOff>
        </xdr:to>
        <xdr:sp macro="" textlink="">
          <xdr:nvSpPr>
            <xdr:cNvPr id="26628" name="Object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9021AFF3-5907-E457-D18E-241085CBA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0</xdr:row>
          <xdr:rowOff>88900</xdr:rowOff>
        </xdr:from>
        <xdr:to>
          <xdr:col>2</xdr:col>
          <xdr:colOff>1104900</xdr:colOff>
          <xdr:row>0</xdr:row>
          <xdr:rowOff>469900</xdr:rowOff>
        </xdr:to>
        <xdr:sp macro="" textlink="">
          <xdr:nvSpPr>
            <xdr:cNvPr id="26629" name="Object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556C8DA-7BFA-EBED-7604-21F866C56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asge/peg/DOCUME~1/ADMINI~1/LOCALS~1/Temp/Temporary%20Directory%201%20for%20Reworked.zip/Reworked/Project%20Tailoring%20Guideline/Project%20Workbook%20Outline%20&amp;%20Estimation%20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terface_Test_Execution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Overview"/>
      <sheetName val="Project Estimation"/>
      <sheetName val="Project Metrics"/>
      <sheetName val="Unit Estimates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 Execution Report"/>
    </sheetNames>
    <sheetDataSet>
      <sheetData sheetId="0">
        <row r="8">
          <cell r="M8" t="str">
            <v>Count</v>
          </cell>
        </row>
        <row r="9">
          <cell r="L9" t="str">
            <v>Passed</v>
          </cell>
          <cell r="M9">
            <v>28</v>
          </cell>
        </row>
        <row r="10">
          <cell r="L10" t="str">
            <v>Failed</v>
          </cell>
          <cell r="M10">
            <v>4</v>
          </cell>
        </row>
        <row r="11">
          <cell r="L11" t="str">
            <v>Blocked</v>
          </cell>
          <cell r="M11">
            <v>2</v>
          </cell>
        </row>
        <row r="12">
          <cell r="L12" t="str">
            <v>Not Run</v>
          </cell>
          <cell r="M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4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5264-5FE6-4644-B817-7EDC0FF1F2AF}">
  <dimension ref="A1:E28"/>
  <sheetViews>
    <sheetView workbookViewId="0"/>
  </sheetViews>
  <sheetFormatPr baseColWidth="10" defaultColWidth="9.7109375" defaultRowHeight="13"/>
  <cols>
    <col min="1" max="1" width="9.7109375" style="26" customWidth="1"/>
    <col min="2" max="2" width="19.28515625" style="26" customWidth="1"/>
    <col min="3" max="3" width="26.7109375" style="26" customWidth="1"/>
    <col min="4" max="16384" width="9.7109375" style="26"/>
  </cols>
  <sheetData>
    <row r="1" spans="1:3">
      <c r="A1" s="25"/>
      <c r="B1" s="25"/>
      <c r="C1" s="25"/>
    </row>
    <row r="2" spans="1:3">
      <c r="A2" s="25"/>
      <c r="B2" s="25"/>
      <c r="C2" s="25"/>
    </row>
    <row r="3" spans="1:3" ht="18">
      <c r="A3" s="25"/>
      <c r="B3" s="27" t="s">
        <v>66</v>
      </c>
      <c r="C3" s="25"/>
    </row>
    <row r="4" spans="1:3">
      <c r="A4" s="25"/>
      <c r="B4" s="25"/>
      <c r="C4" s="25"/>
    </row>
    <row r="5" spans="1:3">
      <c r="A5" s="25"/>
      <c r="B5" s="25"/>
      <c r="C5" s="25"/>
    </row>
    <row r="6" spans="1:3">
      <c r="A6" s="25"/>
      <c r="B6" s="25"/>
      <c r="C6" s="25"/>
    </row>
    <row r="7" spans="1:3" ht="18" customHeight="1">
      <c r="A7" s="25"/>
      <c r="B7" s="28" t="s">
        <v>16</v>
      </c>
      <c r="C7" s="29" t="s">
        <v>17</v>
      </c>
    </row>
    <row r="8" spans="1:3" ht="18" customHeight="1">
      <c r="A8" s="25"/>
      <c r="B8" s="28" t="s">
        <v>18</v>
      </c>
      <c r="C8" s="29" t="s">
        <v>19</v>
      </c>
    </row>
    <row r="9" spans="1:3" ht="18" customHeight="1">
      <c r="A9" s="25"/>
      <c r="B9" s="53" t="s">
        <v>60</v>
      </c>
      <c r="C9" s="29" t="s">
        <v>20</v>
      </c>
    </row>
    <row r="10" spans="1:3" ht="18" customHeight="1">
      <c r="A10" s="25"/>
      <c r="B10" s="53" t="s">
        <v>61</v>
      </c>
      <c r="C10" s="29" t="s">
        <v>64</v>
      </c>
    </row>
    <row r="11" spans="1:3" ht="18" customHeight="1">
      <c r="A11" s="25"/>
      <c r="B11" s="53" t="s">
        <v>62</v>
      </c>
      <c r="C11" s="29" t="s">
        <v>63</v>
      </c>
    </row>
    <row r="12" spans="1:3" ht="18" customHeight="1">
      <c r="A12" s="25"/>
      <c r="B12" s="28" t="s">
        <v>65</v>
      </c>
      <c r="C12" s="29" t="s">
        <v>21</v>
      </c>
    </row>
    <row r="13" spans="1:3" ht="19.5" customHeight="1">
      <c r="B13" s="28" t="s">
        <v>22</v>
      </c>
      <c r="C13" s="29" t="s">
        <v>23</v>
      </c>
    </row>
    <row r="15" spans="1:3" ht="100.5" customHeight="1">
      <c r="B15" s="76" t="s">
        <v>68</v>
      </c>
      <c r="C15" s="77"/>
    </row>
    <row r="17" spans="2:5" ht="14">
      <c r="B17" s="48" t="s">
        <v>49</v>
      </c>
      <c r="C17" s="47"/>
      <c r="D17" s="47"/>
      <c r="E17" s="47"/>
    </row>
    <row r="18" spans="2:5">
      <c r="B18" s="51" t="s">
        <v>67</v>
      </c>
      <c r="C18" s="47"/>
      <c r="D18" s="47"/>
      <c r="E18" s="47"/>
    </row>
    <row r="19" spans="2:5" ht="14">
      <c r="B19" s="52"/>
      <c r="C19" s="47"/>
      <c r="D19" s="47"/>
      <c r="E19" s="47"/>
    </row>
    <row r="20" spans="2:5" ht="14">
      <c r="B20" s="48" t="s">
        <v>50</v>
      </c>
      <c r="C20" s="47"/>
      <c r="D20" s="47"/>
      <c r="E20" s="47"/>
    </row>
    <row r="21" spans="2:5">
      <c r="B21" s="78" t="s">
        <v>51</v>
      </c>
      <c r="C21" s="78"/>
      <c r="D21" s="78" t="s">
        <v>52</v>
      </c>
      <c r="E21" s="78"/>
    </row>
    <row r="22" spans="2:5" ht="14">
      <c r="B22" s="50" t="s">
        <v>47</v>
      </c>
      <c r="C22" s="49"/>
      <c r="D22" s="50" t="s">
        <v>47</v>
      </c>
      <c r="E22" s="49"/>
    </row>
    <row r="23" spans="2:5" ht="14">
      <c r="B23" s="50" t="s">
        <v>48</v>
      </c>
      <c r="C23" s="49"/>
      <c r="D23" s="50" t="s">
        <v>48</v>
      </c>
      <c r="E23" s="49"/>
    </row>
    <row r="24" spans="2:5" ht="42">
      <c r="B24" s="50" t="s">
        <v>59</v>
      </c>
      <c r="C24" s="49"/>
      <c r="D24" s="50" t="s">
        <v>53</v>
      </c>
      <c r="E24" s="49"/>
    </row>
    <row r="25" spans="2:5" ht="42">
      <c r="B25" s="50" t="s">
        <v>54</v>
      </c>
      <c r="C25" s="49"/>
      <c r="D25" s="50" t="s">
        <v>55</v>
      </c>
      <c r="E25" s="49"/>
    </row>
    <row r="26" spans="2:5" ht="14">
      <c r="B26" s="50" t="s">
        <v>56</v>
      </c>
      <c r="C26" s="49"/>
      <c r="D26" s="50" t="s">
        <v>56</v>
      </c>
      <c r="E26" s="49"/>
    </row>
    <row r="27" spans="2:5" ht="14">
      <c r="B27" s="50" t="s">
        <v>57</v>
      </c>
      <c r="C27" s="49"/>
      <c r="D27" s="50" t="s">
        <v>57</v>
      </c>
      <c r="E27" s="49"/>
    </row>
    <row r="28" spans="2:5" ht="14">
      <c r="B28" s="50" t="s">
        <v>58</v>
      </c>
      <c r="C28" s="49"/>
      <c r="D28" s="50" t="s">
        <v>58</v>
      </c>
      <c r="E28" s="49"/>
    </row>
  </sheetData>
  <sheetProtection autoFilter="0"/>
  <mergeCells count="3">
    <mergeCell ref="B15:C15"/>
    <mergeCell ref="B21:C21"/>
    <mergeCell ref="D21:E21"/>
  </mergeCells>
  <phoneticPr fontId="2" type="noConversion"/>
  <pageMargins left="0.18" right="0.18" top="0.64" bottom="0.78" header="0.2" footer="0.38"/>
  <pageSetup paperSize="9" orientation="landscape"/>
  <headerFooter alignWithMargins="0">
    <oddHeader xml:space="preserve">&amp;L&amp;G&amp;C&amp;"Arial,Bold"&amp;8
</oddHeader>
    <oddFooter>&amp;L&amp;8Copyright © IBM GDC Vietnam - All Rights Reserved&amp;C&amp;8&amp;F
&amp;A Sheet&amp;R&amp;8Page 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94C7-BC90-DC47-8990-6D9D730D0C41}">
  <dimension ref="A1:M52"/>
  <sheetViews>
    <sheetView zoomScale="65" workbookViewId="0">
      <selection activeCell="O17" sqref="O17"/>
    </sheetView>
  </sheetViews>
  <sheetFormatPr baseColWidth="10" defaultColWidth="7.5703125" defaultRowHeight="16"/>
  <cols>
    <col min="1" max="1" width="24.7109375" customWidth="1"/>
    <col min="2" max="2" width="30" customWidth="1"/>
    <col min="3" max="3" width="10.28515625" customWidth="1"/>
    <col min="4" max="4" width="13.7109375" customWidth="1"/>
    <col min="5" max="5" width="12" customWidth="1"/>
    <col min="6" max="6" width="10.28515625" customWidth="1"/>
    <col min="7" max="7" width="12" customWidth="1"/>
    <col min="8" max="8" width="34.28515625" customWidth="1"/>
  </cols>
  <sheetData>
    <row r="1" spans="1:13" ht="18">
      <c r="A1" s="82" t="s">
        <v>75</v>
      </c>
      <c r="B1" s="83"/>
      <c r="C1" s="83"/>
      <c r="D1" s="83"/>
      <c r="E1" s="83"/>
      <c r="F1" s="83"/>
      <c r="G1" s="83"/>
      <c r="H1" s="83"/>
      <c r="I1" s="83"/>
      <c r="J1" s="83"/>
    </row>
    <row r="3" spans="1:13">
      <c r="A3" s="54" t="s">
        <v>76</v>
      </c>
      <c r="B3" t="s">
        <v>77</v>
      </c>
    </row>
    <row r="4" spans="1:13">
      <c r="A4" s="54" t="s">
        <v>78</v>
      </c>
      <c r="B4" t="s">
        <v>79</v>
      </c>
    </row>
    <row r="5" spans="1:13">
      <c r="A5" s="54" t="s">
        <v>80</v>
      </c>
      <c r="B5" t="s">
        <v>81</v>
      </c>
    </row>
    <row r="6" spans="1:13">
      <c r="A6" s="54" t="s">
        <v>82</v>
      </c>
      <c r="B6" t="s">
        <v>83</v>
      </c>
    </row>
    <row r="8" spans="1:13">
      <c r="A8" s="55" t="s">
        <v>84</v>
      </c>
      <c r="L8" s="57" t="s">
        <v>85</v>
      </c>
      <c r="M8" s="57" t="s">
        <v>86</v>
      </c>
    </row>
    <row r="9" spans="1:13">
      <c r="A9" s="56" t="s">
        <v>87</v>
      </c>
      <c r="B9" s="57">
        <v>35</v>
      </c>
      <c r="L9" s="57" t="s">
        <v>88</v>
      </c>
      <c r="M9" s="57">
        <v>28</v>
      </c>
    </row>
    <row r="10" spans="1:13">
      <c r="A10" s="56" t="s">
        <v>88</v>
      </c>
      <c r="B10" s="57" t="s">
        <v>89</v>
      </c>
      <c r="L10" s="57" t="s">
        <v>90</v>
      </c>
      <c r="M10" s="57">
        <v>4</v>
      </c>
    </row>
    <row r="11" spans="1:13">
      <c r="A11" s="56" t="s">
        <v>90</v>
      </c>
      <c r="B11" s="57" t="s">
        <v>91</v>
      </c>
      <c r="L11" s="57" t="s">
        <v>92</v>
      </c>
      <c r="M11" s="57">
        <v>2</v>
      </c>
    </row>
    <row r="12" spans="1:13">
      <c r="A12" s="56" t="s">
        <v>92</v>
      </c>
      <c r="B12" s="57" t="s">
        <v>93</v>
      </c>
      <c r="L12" s="57" t="s">
        <v>94</v>
      </c>
      <c r="M12" s="57">
        <v>1</v>
      </c>
    </row>
    <row r="13" spans="1:13">
      <c r="A13" s="56" t="s">
        <v>94</v>
      </c>
      <c r="B13" s="57" t="s">
        <v>95</v>
      </c>
    </row>
    <row r="14" spans="1:13">
      <c r="A14" s="56" t="s">
        <v>96</v>
      </c>
      <c r="B14" s="57" t="s">
        <v>97</v>
      </c>
    </row>
    <row r="16" spans="1:13">
      <c r="A16" s="55" t="s">
        <v>98</v>
      </c>
    </row>
    <row r="17" spans="1:8" ht="31">
      <c r="A17" s="58" t="s">
        <v>101</v>
      </c>
      <c r="B17" s="58" t="s">
        <v>102</v>
      </c>
      <c r="C17" s="58" t="s">
        <v>99</v>
      </c>
      <c r="D17" s="58" t="s">
        <v>103</v>
      </c>
      <c r="E17" s="58" t="s">
        <v>104</v>
      </c>
      <c r="F17" s="58" t="s">
        <v>105</v>
      </c>
      <c r="G17" s="58" t="s">
        <v>106</v>
      </c>
      <c r="H17" s="58" t="s">
        <v>107</v>
      </c>
    </row>
    <row r="18" spans="1:8" ht="17">
      <c r="A18" s="59" t="s">
        <v>109</v>
      </c>
      <c r="B18" s="60" t="s">
        <v>110</v>
      </c>
      <c r="C18" s="59" t="s">
        <v>108</v>
      </c>
      <c r="D18" s="59" t="s">
        <v>100</v>
      </c>
      <c r="E18" s="59"/>
      <c r="F18" s="59" t="s">
        <v>82</v>
      </c>
      <c r="G18" s="59" t="s">
        <v>111</v>
      </c>
      <c r="H18" s="60"/>
    </row>
    <row r="19" spans="1:8" ht="17">
      <c r="A19" s="59" t="s">
        <v>113</v>
      </c>
      <c r="B19" s="60" t="s">
        <v>114</v>
      </c>
      <c r="C19" s="59" t="s">
        <v>108</v>
      </c>
      <c r="D19" s="59" t="s">
        <v>100</v>
      </c>
      <c r="E19" s="59"/>
      <c r="F19" s="59" t="s">
        <v>82</v>
      </c>
      <c r="G19" s="59" t="s">
        <v>111</v>
      </c>
      <c r="H19" s="60"/>
    </row>
    <row r="20" spans="1:8" ht="17">
      <c r="A20" s="59" t="s">
        <v>116</v>
      </c>
      <c r="B20" s="60" t="s">
        <v>117</v>
      </c>
      <c r="C20" s="59" t="s">
        <v>108</v>
      </c>
      <c r="D20" s="59" t="s">
        <v>100</v>
      </c>
      <c r="E20" s="59"/>
      <c r="F20" s="59" t="s">
        <v>82</v>
      </c>
      <c r="G20" s="59" t="s">
        <v>111</v>
      </c>
      <c r="H20" s="60"/>
    </row>
    <row r="21" spans="1:8" ht="17">
      <c r="A21" s="59" t="s">
        <v>119</v>
      </c>
      <c r="B21" s="60" t="s">
        <v>120</v>
      </c>
      <c r="C21" s="59" t="s">
        <v>108</v>
      </c>
      <c r="D21" s="59" t="s">
        <v>100</v>
      </c>
      <c r="E21" s="59"/>
      <c r="F21" s="59" t="s">
        <v>82</v>
      </c>
      <c r="G21" s="59" t="s">
        <v>111</v>
      </c>
      <c r="H21" s="60"/>
    </row>
    <row r="22" spans="1:8" ht="17">
      <c r="A22" s="61" t="s">
        <v>122</v>
      </c>
      <c r="B22" s="62" t="s">
        <v>123</v>
      </c>
      <c r="C22" s="61" t="s">
        <v>108</v>
      </c>
      <c r="D22" s="61" t="s">
        <v>90</v>
      </c>
      <c r="E22" s="61" t="s">
        <v>124</v>
      </c>
      <c r="F22" s="61" t="s">
        <v>82</v>
      </c>
      <c r="G22" s="61" t="s">
        <v>125</v>
      </c>
      <c r="H22" s="62" t="s">
        <v>126</v>
      </c>
    </row>
    <row r="23" spans="1:8" ht="17">
      <c r="A23" s="59" t="s">
        <v>127</v>
      </c>
      <c r="B23" s="60" t="s">
        <v>128</v>
      </c>
      <c r="C23" s="59" t="s">
        <v>108</v>
      </c>
      <c r="D23" s="59" t="s">
        <v>100</v>
      </c>
      <c r="E23" s="59"/>
      <c r="F23" s="59" t="s">
        <v>82</v>
      </c>
      <c r="G23" s="59" t="s">
        <v>125</v>
      </c>
      <c r="H23" s="60"/>
    </row>
    <row r="24" spans="1:8" ht="17">
      <c r="A24" s="59" t="s">
        <v>129</v>
      </c>
      <c r="B24" s="60" t="s">
        <v>130</v>
      </c>
      <c r="C24" s="59" t="s">
        <v>108</v>
      </c>
      <c r="D24" s="59" t="s">
        <v>100</v>
      </c>
      <c r="E24" s="59"/>
      <c r="F24" s="59" t="s">
        <v>82</v>
      </c>
      <c r="G24" s="59" t="s">
        <v>125</v>
      </c>
      <c r="H24" s="60"/>
    </row>
    <row r="25" spans="1:8" ht="17">
      <c r="A25" s="59" t="s">
        <v>131</v>
      </c>
      <c r="B25" s="60" t="s">
        <v>132</v>
      </c>
      <c r="C25" s="59" t="s">
        <v>108</v>
      </c>
      <c r="D25" s="59" t="s">
        <v>100</v>
      </c>
      <c r="E25" s="59"/>
      <c r="F25" s="59" t="s">
        <v>82</v>
      </c>
      <c r="G25" s="59" t="s">
        <v>125</v>
      </c>
      <c r="H25" s="60"/>
    </row>
    <row r="26" spans="1:8" ht="17">
      <c r="A26" s="59" t="s">
        <v>133</v>
      </c>
      <c r="B26" s="60" t="s">
        <v>134</v>
      </c>
      <c r="C26" s="59" t="s">
        <v>112</v>
      </c>
      <c r="D26" s="59" t="s">
        <v>100</v>
      </c>
      <c r="E26" s="59"/>
      <c r="F26" s="59" t="s">
        <v>82</v>
      </c>
      <c r="G26" s="59" t="s">
        <v>135</v>
      </c>
      <c r="H26" s="60"/>
    </row>
    <row r="27" spans="1:8" ht="17">
      <c r="A27" s="59" t="s">
        <v>136</v>
      </c>
      <c r="B27" s="60" t="s">
        <v>137</v>
      </c>
      <c r="C27" s="59" t="s">
        <v>112</v>
      </c>
      <c r="D27" s="59" t="s">
        <v>100</v>
      </c>
      <c r="E27" s="59"/>
      <c r="F27" s="59" t="s">
        <v>82</v>
      </c>
      <c r="G27" s="59" t="s">
        <v>135</v>
      </c>
      <c r="H27" s="60"/>
    </row>
    <row r="28" spans="1:8" ht="17">
      <c r="A28" s="59" t="s">
        <v>138</v>
      </c>
      <c r="B28" s="60" t="s">
        <v>139</v>
      </c>
      <c r="C28" s="59" t="s">
        <v>112</v>
      </c>
      <c r="D28" s="59" t="s">
        <v>100</v>
      </c>
      <c r="E28" s="59"/>
      <c r="F28" s="59" t="s">
        <v>82</v>
      </c>
      <c r="G28" s="59" t="s">
        <v>135</v>
      </c>
      <c r="H28" s="60"/>
    </row>
    <row r="29" spans="1:8" ht="17">
      <c r="A29" s="61" t="s">
        <v>140</v>
      </c>
      <c r="B29" s="62" t="s">
        <v>141</v>
      </c>
      <c r="C29" s="61" t="s">
        <v>112</v>
      </c>
      <c r="D29" s="61" t="s">
        <v>90</v>
      </c>
      <c r="E29" s="61" t="s">
        <v>142</v>
      </c>
      <c r="F29" s="61" t="s">
        <v>82</v>
      </c>
      <c r="G29" s="61" t="s">
        <v>135</v>
      </c>
      <c r="H29" s="62" t="s">
        <v>143</v>
      </c>
    </row>
    <row r="30" spans="1:8" ht="17">
      <c r="A30" s="59" t="s">
        <v>144</v>
      </c>
      <c r="B30" s="60" t="s">
        <v>145</v>
      </c>
      <c r="C30" s="59" t="s">
        <v>112</v>
      </c>
      <c r="D30" s="59" t="s">
        <v>100</v>
      </c>
      <c r="E30" s="59"/>
      <c r="F30" s="59" t="s">
        <v>82</v>
      </c>
      <c r="G30" s="59" t="s">
        <v>135</v>
      </c>
      <c r="H30" s="60"/>
    </row>
    <row r="31" spans="1:8" ht="17">
      <c r="A31" s="59" t="s">
        <v>146</v>
      </c>
      <c r="B31" s="60" t="s">
        <v>147</v>
      </c>
      <c r="C31" s="59" t="s">
        <v>112</v>
      </c>
      <c r="D31" s="59" t="s">
        <v>100</v>
      </c>
      <c r="E31" s="59"/>
      <c r="F31" s="59" t="s">
        <v>82</v>
      </c>
      <c r="G31" s="59" t="s">
        <v>135</v>
      </c>
      <c r="H31" s="60"/>
    </row>
    <row r="32" spans="1:8" ht="17">
      <c r="A32" s="59" t="s">
        <v>148</v>
      </c>
      <c r="B32" s="60" t="s">
        <v>149</v>
      </c>
      <c r="C32" s="59" t="s">
        <v>112</v>
      </c>
      <c r="D32" s="59" t="s">
        <v>100</v>
      </c>
      <c r="E32" s="59"/>
      <c r="F32" s="59" t="s">
        <v>82</v>
      </c>
      <c r="G32" s="59" t="s">
        <v>135</v>
      </c>
      <c r="H32" s="60"/>
    </row>
    <row r="33" spans="1:8" ht="17">
      <c r="A33" s="59" t="s">
        <v>150</v>
      </c>
      <c r="B33" s="60" t="s">
        <v>151</v>
      </c>
      <c r="C33" s="59" t="s">
        <v>112</v>
      </c>
      <c r="D33" s="59" t="s">
        <v>100</v>
      </c>
      <c r="E33" s="59"/>
      <c r="F33" s="59" t="s">
        <v>82</v>
      </c>
      <c r="G33" s="59" t="s">
        <v>135</v>
      </c>
      <c r="H33" s="60"/>
    </row>
    <row r="34" spans="1:8" ht="17">
      <c r="A34" s="59" t="s">
        <v>152</v>
      </c>
      <c r="B34" s="60" t="s">
        <v>153</v>
      </c>
      <c r="C34" s="59" t="s">
        <v>115</v>
      </c>
      <c r="D34" s="59" t="s">
        <v>100</v>
      </c>
      <c r="E34" s="59"/>
      <c r="F34" s="59" t="s">
        <v>82</v>
      </c>
      <c r="G34" s="59" t="s">
        <v>154</v>
      </c>
      <c r="H34" s="60"/>
    </row>
    <row r="35" spans="1:8" ht="17">
      <c r="A35" s="59" t="s">
        <v>155</v>
      </c>
      <c r="B35" s="60" t="s">
        <v>156</v>
      </c>
      <c r="C35" s="59" t="s">
        <v>115</v>
      </c>
      <c r="D35" s="59" t="s">
        <v>100</v>
      </c>
      <c r="E35" s="59"/>
      <c r="F35" s="59" t="s">
        <v>82</v>
      </c>
      <c r="G35" s="59" t="s">
        <v>154</v>
      </c>
      <c r="H35" s="60"/>
    </row>
    <row r="36" spans="1:8" ht="17">
      <c r="A36" s="59" t="s">
        <v>157</v>
      </c>
      <c r="B36" s="60" t="s">
        <v>158</v>
      </c>
      <c r="C36" s="59" t="s">
        <v>115</v>
      </c>
      <c r="D36" s="59" t="s">
        <v>100</v>
      </c>
      <c r="E36" s="59"/>
      <c r="F36" s="59" t="s">
        <v>82</v>
      </c>
      <c r="G36" s="59" t="s">
        <v>154</v>
      </c>
      <c r="H36" s="60"/>
    </row>
    <row r="37" spans="1:8" ht="17">
      <c r="A37" s="59" t="s">
        <v>159</v>
      </c>
      <c r="B37" s="60" t="s">
        <v>160</v>
      </c>
      <c r="C37" s="59" t="s">
        <v>115</v>
      </c>
      <c r="D37" s="59" t="s">
        <v>100</v>
      </c>
      <c r="E37" s="59"/>
      <c r="F37" s="59" t="s">
        <v>82</v>
      </c>
      <c r="G37" s="59" t="s">
        <v>154</v>
      </c>
      <c r="H37" s="60"/>
    </row>
    <row r="38" spans="1:8" ht="17">
      <c r="A38" s="59" t="s">
        <v>161</v>
      </c>
      <c r="B38" s="60" t="s">
        <v>162</v>
      </c>
      <c r="C38" s="59" t="s">
        <v>115</v>
      </c>
      <c r="D38" s="59" t="s">
        <v>100</v>
      </c>
      <c r="E38" s="59"/>
      <c r="F38" s="59" t="s">
        <v>82</v>
      </c>
      <c r="G38" s="59" t="s">
        <v>154</v>
      </c>
      <c r="H38" s="60"/>
    </row>
    <row r="39" spans="1:8" ht="17">
      <c r="A39" s="59" t="s">
        <v>163</v>
      </c>
      <c r="B39" s="60" t="s">
        <v>164</v>
      </c>
      <c r="C39" s="59" t="s">
        <v>115</v>
      </c>
      <c r="D39" s="59" t="s">
        <v>100</v>
      </c>
      <c r="E39" s="59"/>
      <c r="F39" s="59" t="s">
        <v>82</v>
      </c>
      <c r="G39" s="59" t="s">
        <v>154</v>
      </c>
      <c r="H39" s="60"/>
    </row>
    <row r="40" spans="1:8" ht="17">
      <c r="A40" s="59" t="s">
        <v>165</v>
      </c>
      <c r="B40" s="60" t="s">
        <v>166</v>
      </c>
      <c r="C40" s="59" t="s">
        <v>115</v>
      </c>
      <c r="D40" s="59" t="s">
        <v>100</v>
      </c>
      <c r="E40" s="59"/>
      <c r="F40" s="59" t="s">
        <v>82</v>
      </c>
      <c r="G40" s="59" t="s">
        <v>154</v>
      </c>
      <c r="H40" s="60"/>
    </row>
    <row r="41" spans="1:8" ht="17">
      <c r="A41" s="59" t="s">
        <v>167</v>
      </c>
      <c r="B41" s="60" t="s">
        <v>168</v>
      </c>
      <c r="C41" s="59" t="s">
        <v>118</v>
      </c>
      <c r="D41" s="59" t="s">
        <v>100</v>
      </c>
      <c r="E41" s="59"/>
      <c r="F41" s="59" t="s">
        <v>82</v>
      </c>
      <c r="G41" s="59" t="s">
        <v>169</v>
      </c>
      <c r="H41" s="60"/>
    </row>
    <row r="42" spans="1:8" ht="17">
      <c r="A42" s="59" t="s">
        <v>170</v>
      </c>
      <c r="B42" s="60" t="s">
        <v>171</v>
      </c>
      <c r="C42" s="59" t="s">
        <v>118</v>
      </c>
      <c r="D42" s="59" t="s">
        <v>100</v>
      </c>
      <c r="E42" s="59"/>
      <c r="F42" s="59" t="s">
        <v>82</v>
      </c>
      <c r="G42" s="59" t="s">
        <v>169</v>
      </c>
      <c r="H42" s="60"/>
    </row>
    <row r="43" spans="1:8" ht="17">
      <c r="A43" s="63" t="s">
        <v>172</v>
      </c>
      <c r="B43" s="64" t="s">
        <v>173</v>
      </c>
      <c r="C43" s="63" t="s">
        <v>118</v>
      </c>
      <c r="D43" s="63" t="s">
        <v>92</v>
      </c>
      <c r="E43" s="63"/>
      <c r="F43" s="63" t="s">
        <v>82</v>
      </c>
      <c r="G43" s="63" t="s">
        <v>169</v>
      </c>
      <c r="H43" s="64" t="s">
        <v>174</v>
      </c>
    </row>
    <row r="44" spans="1:8" ht="17">
      <c r="A44" s="61" t="s">
        <v>175</v>
      </c>
      <c r="B44" s="62" t="s">
        <v>176</v>
      </c>
      <c r="C44" s="61" t="s">
        <v>118</v>
      </c>
      <c r="D44" s="61" t="s">
        <v>90</v>
      </c>
      <c r="E44" s="61" t="s">
        <v>177</v>
      </c>
      <c r="F44" s="61" t="s">
        <v>82</v>
      </c>
      <c r="G44" s="61" t="s">
        <v>178</v>
      </c>
      <c r="H44" s="62" t="s">
        <v>179</v>
      </c>
    </row>
    <row r="45" spans="1:8" ht="17">
      <c r="A45" s="63" t="s">
        <v>180</v>
      </c>
      <c r="B45" s="64" t="s">
        <v>181</v>
      </c>
      <c r="C45" s="63" t="s">
        <v>118</v>
      </c>
      <c r="D45" s="63" t="s">
        <v>92</v>
      </c>
      <c r="E45" s="63"/>
      <c r="F45" s="63" t="s">
        <v>82</v>
      </c>
      <c r="G45" s="63" t="s">
        <v>178</v>
      </c>
      <c r="H45" s="64" t="s">
        <v>182</v>
      </c>
    </row>
    <row r="46" spans="1:8" ht="17">
      <c r="A46" s="59" t="s">
        <v>183</v>
      </c>
      <c r="B46" s="60" t="s">
        <v>184</v>
      </c>
      <c r="C46" s="59" t="s">
        <v>118</v>
      </c>
      <c r="D46" s="59" t="s">
        <v>100</v>
      </c>
      <c r="E46" s="59"/>
      <c r="F46" s="59" t="s">
        <v>82</v>
      </c>
      <c r="G46" s="59" t="s">
        <v>178</v>
      </c>
      <c r="H46" s="60"/>
    </row>
    <row r="47" spans="1:8" ht="17">
      <c r="A47" s="59" t="s">
        <v>185</v>
      </c>
      <c r="B47" s="60" t="s">
        <v>186</v>
      </c>
      <c r="C47" s="59" t="s">
        <v>118</v>
      </c>
      <c r="D47" s="59" t="s">
        <v>100</v>
      </c>
      <c r="E47" s="59"/>
      <c r="F47" s="59" t="s">
        <v>82</v>
      </c>
      <c r="G47" s="59" t="s">
        <v>178</v>
      </c>
      <c r="H47" s="60"/>
    </row>
    <row r="48" spans="1:8" ht="17">
      <c r="A48" s="61" t="s">
        <v>187</v>
      </c>
      <c r="B48" s="62" t="s">
        <v>188</v>
      </c>
      <c r="C48" s="61" t="s">
        <v>118</v>
      </c>
      <c r="D48" s="61" t="s">
        <v>90</v>
      </c>
      <c r="E48" s="61" t="s">
        <v>189</v>
      </c>
      <c r="F48" s="61" t="s">
        <v>82</v>
      </c>
      <c r="G48" s="61" t="s">
        <v>178</v>
      </c>
      <c r="H48" s="62" t="s">
        <v>190</v>
      </c>
    </row>
    <row r="49" spans="1:8" ht="17">
      <c r="A49" s="59" t="s">
        <v>191</v>
      </c>
      <c r="B49" s="60" t="s">
        <v>192</v>
      </c>
      <c r="C49" s="59" t="s">
        <v>118</v>
      </c>
      <c r="D49" s="59" t="s">
        <v>100</v>
      </c>
      <c r="E49" s="59"/>
      <c r="F49" s="59" t="s">
        <v>82</v>
      </c>
      <c r="G49" s="59" t="s">
        <v>178</v>
      </c>
      <c r="H49" s="60"/>
    </row>
    <row r="50" spans="1:8" ht="17">
      <c r="A50" s="59" t="s">
        <v>193</v>
      </c>
      <c r="B50" s="60" t="s">
        <v>194</v>
      </c>
      <c r="C50" s="59" t="s">
        <v>118</v>
      </c>
      <c r="D50" s="59" t="s">
        <v>100</v>
      </c>
      <c r="E50" s="59"/>
      <c r="F50" s="59" t="s">
        <v>82</v>
      </c>
      <c r="G50" s="59" t="s">
        <v>178</v>
      </c>
      <c r="H50" s="60"/>
    </row>
    <row r="51" spans="1:8" ht="17">
      <c r="A51" s="59" t="s">
        <v>195</v>
      </c>
      <c r="B51" s="60" t="s">
        <v>196</v>
      </c>
      <c r="C51" s="59" t="s">
        <v>121</v>
      </c>
      <c r="D51" s="59" t="s">
        <v>100</v>
      </c>
      <c r="E51" s="59"/>
      <c r="F51" s="59" t="s">
        <v>82</v>
      </c>
      <c r="G51" s="59" t="s">
        <v>197</v>
      </c>
      <c r="H51" s="60"/>
    </row>
    <row r="52" spans="1:8" ht="17">
      <c r="A52" s="65" t="s">
        <v>198</v>
      </c>
      <c r="B52" s="66" t="s">
        <v>199</v>
      </c>
      <c r="C52" s="65" t="s">
        <v>121</v>
      </c>
      <c r="D52" s="65" t="s">
        <v>94</v>
      </c>
      <c r="E52" s="65"/>
      <c r="F52" s="65"/>
      <c r="G52" s="65"/>
      <c r="H52" s="66" t="s">
        <v>200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9F47-C8DD-D34F-82FB-B2FCE878669F}">
  <dimension ref="A1:T55"/>
  <sheetViews>
    <sheetView tabSelected="1" topLeftCell="C8" zoomScale="105" workbookViewId="0">
      <selection activeCell="J34" sqref="J34"/>
    </sheetView>
  </sheetViews>
  <sheetFormatPr baseColWidth="10" defaultColWidth="7.5703125" defaultRowHeight="16"/>
  <cols>
    <col min="1" max="1" width="17.5703125" customWidth="1"/>
    <col min="2" max="2" width="37.85546875" customWidth="1"/>
    <col min="3" max="3" width="10.28515625" style="97" customWidth="1"/>
    <col min="4" max="4" width="13.7109375" customWidth="1"/>
    <col min="5" max="5" width="12" customWidth="1"/>
    <col min="6" max="6" width="10.28515625" customWidth="1"/>
    <col min="7" max="7" width="12" customWidth="1"/>
    <col min="8" max="8" width="34.28515625" customWidth="1"/>
    <col min="10" max="10" width="26.140625" style="98" customWidth="1"/>
  </cols>
  <sheetData>
    <row r="1" spans="1:20" ht="18">
      <c r="A1" s="82" t="s">
        <v>75</v>
      </c>
      <c r="B1" s="83"/>
      <c r="C1" s="95"/>
      <c r="D1" s="83"/>
      <c r="E1" s="83"/>
      <c r="F1" s="83"/>
      <c r="G1" s="83"/>
      <c r="H1" s="83"/>
      <c r="I1" s="83"/>
      <c r="J1" s="96"/>
    </row>
    <row r="3" spans="1:20">
      <c r="A3" s="54" t="s">
        <v>76</v>
      </c>
      <c r="B3" t="s">
        <v>77</v>
      </c>
    </row>
    <row r="4" spans="1:20">
      <c r="A4" s="54" t="s">
        <v>78</v>
      </c>
      <c r="B4" t="s">
        <v>248</v>
      </c>
    </row>
    <row r="5" spans="1:20">
      <c r="A5" s="54" t="s">
        <v>80</v>
      </c>
      <c r="B5" t="s">
        <v>81</v>
      </c>
    </row>
    <row r="6" spans="1:20">
      <c r="A6" s="54" t="s">
        <v>82</v>
      </c>
      <c r="B6" t="s">
        <v>83</v>
      </c>
    </row>
    <row r="8" spans="1:20">
      <c r="A8" s="55" t="s">
        <v>84</v>
      </c>
    </row>
    <row r="9" spans="1:20">
      <c r="A9" s="56" t="s">
        <v>87</v>
      </c>
      <c r="B9" s="99">
        <v>29</v>
      </c>
    </row>
    <row r="10" spans="1:20">
      <c r="A10" s="56" t="s">
        <v>88</v>
      </c>
      <c r="B10" s="99" t="s">
        <v>249</v>
      </c>
    </row>
    <row r="11" spans="1:20">
      <c r="A11" s="56" t="s">
        <v>90</v>
      </c>
      <c r="B11" s="99">
        <v>0</v>
      </c>
    </row>
    <row r="12" spans="1:20">
      <c r="A12" s="56" t="s">
        <v>92</v>
      </c>
      <c r="B12" s="99">
        <v>0</v>
      </c>
    </row>
    <row r="13" spans="1:20">
      <c r="A13" s="56" t="s">
        <v>94</v>
      </c>
      <c r="B13" s="99">
        <v>0</v>
      </c>
    </row>
    <row r="14" spans="1:20">
      <c r="A14" s="56" t="s">
        <v>96</v>
      </c>
      <c r="B14" s="100">
        <v>1</v>
      </c>
      <c r="J14" s="101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>
      <c r="J15" s="101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>
      <c r="A16" s="55" t="s">
        <v>98</v>
      </c>
      <c r="J16" s="102" t="s">
        <v>88</v>
      </c>
      <c r="K16" s="68">
        <v>29</v>
      </c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31">
      <c r="A17" s="58" t="s">
        <v>101</v>
      </c>
      <c r="B17" s="58" t="s">
        <v>102</v>
      </c>
      <c r="C17" s="103" t="s">
        <v>99</v>
      </c>
      <c r="D17" s="58" t="s">
        <v>103</v>
      </c>
      <c r="E17" s="58" t="s">
        <v>104</v>
      </c>
      <c r="F17" s="58" t="s">
        <v>105</v>
      </c>
      <c r="G17" s="58" t="s">
        <v>106</v>
      </c>
      <c r="H17" s="58" t="s">
        <v>107</v>
      </c>
      <c r="J17" s="102" t="s">
        <v>90</v>
      </c>
      <c r="K17" s="68">
        <f>COUNTIF($C$5:$C$28,J17)</f>
        <v>0</v>
      </c>
      <c r="L17" s="30"/>
      <c r="M17" s="30"/>
      <c r="N17" s="30"/>
      <c r="O17" s="30"/>
      <c r="P17" s="30"/>
      <c r="Q17" s="30"/>
      <c r="R17" s="30"/>
      <c r="S17" s="30"/>
      <c r="T17" s="30"/>
    </row>
    <row r="18" spans="1:20">
      <c r="A18" s="104" t="s">
        <v>250</v>
      </c>
      <c r="B18" s="105"/>
      <c r="C18" s="105"/>
      <c r="D18" s="105"/>
      <c r="E18" s="105"/>
      <c r="F18" s="105"/>
      <c r="G18" s="105"/>
      <c r="H18" s="106"/>
      <c r="J18" s="102" t="s">
        <v>94</v>
      </c>
      <c r="K18" s="68">
        <f>COUNTIF($C$5:$C$28,J18)</f>
        <v>0</v>
      </c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17">
      <c r="A19" s="107" t="s">
        <v>251</v>
      </c>
      <c r="B19" s="108" t="s">
        <v>252</v>
      </c>
      <c r="C19" s="107" t="s">
        <v>108</v>
      </c>
      <c r="D19" s="57" t="s">
        <v>100</v>
      </c>
      <c r="E19" s="57" t="s">
        <v>234</v>
      </c>
      <c r="F19" s="57" t="s">
        <v>253</v>
      </c>
      <c r="G19" s="57" t="s">
        <v>254</v>
      </c>
      <c r="H19" s="108" t="s">
        <v>255</v>
      </c>
      <c r="J19" s="102" t="s">
        <v>92</v>
      </c>
      <c r="K19" s="68">
        <f>COUNTIF($C$5:$C$28,J19)</f>
        <v>0</v>
      </c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7">
      <c r="A20" s="107" t="s">
        <v>256</v>
      </c>
      <c r="B20" s="108" t="s">
        <v>257</v>
      </c>
      <c r="C20" s="107" t="s">
        <v>108</v>
      </c>
      <c r="D20" s="57" t="s">
        <v>100</v>
      </c>
      <c r="E20" s="57" t="s">
        <v>234</v>
      </c>
      <c r="F20" s="57" t="s">
        <v>253</v>
      </c>
      <c r="G20" s="57" t="s">
        <v>254</v>
      </c>
      <c r="H20" s="108" t="s">
        <v>258</v>
      </c>
      <c r="J20" s="102" t="s">
        <v>202</v>
      </c>
      <c r="K20" s="68" t="s">
        <v>259</v>
      </c>
      <c r="L20" s="30"/>
      <c r="M20" s="30"/>
      <c r="N20" s="30"/>
      <c r="O20" s="30"/>
      <c r="P20" s="30"/>
      <c r="Q20" s="30"/>
      <c r="R20" s="30"/>
      <c r="S20" s="30"/>
      <c r="T20" s="30"/>
    </row>
    <row r="21" spans="1:20" ht="19" customHeight="1">
      <c r="A21" s="107" t="s">
        <v>260</v>
      </c>
      <c r="B21" s="108" t="s">
        <v>261</v>
      </c>
      <c r="C21" s="107" t="s">
        <v>108</v>
      </c>
      <c r="D21" s="57" t="s">
        <v>100</v>
      </c>
      <c r="E21" s="57" t="s">
        <v>234</v>
      </c>
      <c r="F21" s="57" t="s">
        <v>253</v>
      </c>
      <c r="G21" s="57" t="s">
        <v>254</v>
      </c>
      <c r="H21" s="108" t="s">
        <v>262</v>
      </c>
      <c r="J21" s="101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ht="17">
      <c r="A22" s="107" t="s">
        <v>263</v>
      </c>
      <c r="B22" s="108" t="s">
        <v>264</v>
      </c>
      <c r="C22" s="107" t="s">
        <v>108</v>
      </c>
      <c r="D22" s="57" t="s">
        <v>100</v>
      </c>
      <c r="E22" s="57" t="s">
        <v>234</v>
      </c>
      <c r="F22" s="57" t="s">
        <v>253</v>
      </c>
      <c r="G22" s="57" t="s">
        <v>254</v>
      </c>
      <c r="H22" s="108" t="s">
        <v>265</v>
      </c>
      <c r="J22" s="101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ht="34">
      <c r="A23" s="107" t="s">
        <v>266</v>
      </c>
      <c r="B23" s="108" t="s">
        <v>267</v>
      </c>
      <c r="C23" s="107" t="s">
        <v>108</v>
      </c>
      <c r="D23" s="57" t="s">
        <v>100</v>
      </c>
      <c r="E23" s="57" t="s">
        <v>234</v>
      </c>
      <c r="F23" s="57" t="s">
        <v>253</v>
      </c>
      <c r="G23" s="57" t="s">
        <v>254</v>
      </c>
      <c r="H23" s="108" t="s">
        <v>268</v>
      </c>
      <c r="J23" s="101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ht="19" customHeight="1">
      <c r="A24" s="107" t="s">
        <v>269</v>
      </c>
      <c r="B24" s="108" t="s">
        <v>270</v>
      </c>
      <c r="C24" s="107" t="s">
        <v>108</v>
      </c>
      <c r="D24" s="57" t="s">
        <v>100</v>
      </c>
      <c r="E24" s="57" t="s">
        <v>234</v>
      </c>
      <c r="F24" s="57" t="s">
        <v>253</v>
      </c>
      <c r="G24" s="57" t="s">
        <v>254</v>
      </c>
      <c r="H24" s="108" t="s">
        <v>271</v>
      </c>
      <c r="J24" s="101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ht="17">
      <c r="A25" s="107" t="s">
        <v>272</v>
      </c>
      <c r="B25" s="108" t="s">
        <v>252</v>
      </c>
      <c r="C25" s="107" t="s">
        <v>108</v>
      </c>
      <c r="D25" s="57" t="s">
        <v>100</v>
      </c>
      <c r="E25" s="57" t="s">
        <v>234</v>
      </c>
      <c r="F25" s="57" t="s">
        <v>253</v>
      </c>
      <c r="G25" s="57" t="s">
        <v>254</v>
      </c>
      <c r="H25" s="108" t="s">
        <v>273</v>
      </c>
      <c r="J25" s="101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ht="17">
      <c r="A26" s="107" t="s">
        <v>274</v>
      </c>
      <c r="B26" s="108" t="s">
        <v>275</v>
      </c>
      <c r="C26" s="107" t="s">
        <v>108</v>
      </c>
      <c r="D26" s="57" t="s">
        <v>100</v>
      </c>
      <c r="E26" s="57" t="s">
        <v>234</v>
      </c>
      <c r="F26" s="57" t="s">
        <v>253</v>
      </c>
      <c r="G26" s="57" t="s">
        <v>254</v>
      </c>
      <c r="H26" s="108" t="s">
        <v>276</v>
      </c>
      <c r="J26" s="101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ht="17">
      <c r="A27" s="107" t="s">
        <v>277</v>
      </c>
      <c r="B27" s="108" t="s">
        <v>278</v>
      </c>
      <c r="C27" s="107" t="s">
        <v>108</v>
      </c>
      <c r="D27" s="57" t="s">
        <v>100</v>
      </c>
      <c r="E27" s="57" t="s">
        <v>234</v>
      </c>
      <c r="F27" s="57" t="s">
        <v>253</v>
      </c>
      <c r="G27" s="57" t="s">
        <v>254</v>
      </c>
      <c r="H27" s="108" t="s">
        <v>279</v>
      </c>
      <c r="J27" s="101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ht="17">
      <c r="A28" s="107" t="s">
        <v>280</v>
      </c>
      <c r="B28" s="108" t="s">
        <v>281</v>
      </c>
      <c r="C28" s="107" t="s">
        <v>108</v>
      </c>
      <c r="D28" s="57" t="s">
        <v>100</v>
      </c>
      <c r="E28" s="57" t="s">
        <v>234</v>
      </c>
      <c r="F28" s="57" t="s">
        <v>253</v>
      </c>
      <c r="G28" s="57" t="s">
        <v>254</v>
      </c>
      <c r="H28" s="108" t="s">
        <v>282</v>
      </c>
      <c r="J28" s="101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>
      <c r="A29" s="104" t="s">
        <v>283</v>
      </c>
      <c r="B29" s="105"/>
      <c r="C29" s="105"/>
      <c r="D29" s="105"/>
      <c r="E29" s="105"/>
      <c r="F29" s="105"/>
      <c r="G29" s="105"/>
      <c r="H29" s="106"/>
      <c r="J29" s="101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ht="34">
      <c r="A30" s="107" t="s">
        <v>284</v>
      </c>
      <c r="B30" s="108" t="s">
        <v>285</v>
      </c>
      <c r="C30" s="107" t="s">
        <v>112</v>
      </c>
      <c r="D30" s="57" t="s">
        <v>100</v>
      </c>
      <c r="E30" s="57" t="s">
        <v>234</v>
      </c>
      <c r="F30" s="57" t="s">
        <v>286</v>
      </c>
      <c r="G30" s="57" t="s">
        <v>254</v>
      </c>
      <c r="H30" s="108" t="s">
        <v>287</v>
      </c>
      <c r="J30" s="101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ht="21" customHeight="1">
      <c r="A31" s="107" t="s">
        <v>288</v>
      </c>
      <c r="B31" s="108" t="s">
        <v>289</v>
      </c>
      <c r="C31" s="107" t="s">
        <v>112</v>
      </c>
      <c r="D31" s="57" t="s">
        <v>100</v>
      </c>
      <c r="E31" s="57" t="s">
        <v>234</v>
      </c>
      <c r="F31" s="57" t="s">
        <v>286</v>
      </c>
      <c r="G31" s="57" t="s">
        <v>254</v>
      </c>
      <c r="H31" s="108" t="s">
        <v>290</v>
      </c>
      <c r="J31" s="101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ht="17">
      <c r="A32" s="107" t="s">
        <v>291</v>
      </c>
      <c r="B32" s="108" t="s">
        <v>292</v>
      </c>
      <c r="C32" s="107" t="s">
        <v>112</v>
      </c>
      <c r="D32" s="57" t="s">
        <v>100</v>
      </c>
      <c r="E32" s="57" t="s">
        <v>234</v>
      </c>
      <c r="F32" s="57" t="s">
        <v>286</v>
      </c>
      <c r="G32" s="57" t="s">
        <v>254</v>
      </c>
      <c r="H32" s="108" t="s">
        <v>293</v>
      </c>
      <c r="J32" s="101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ht="34">
      <c r="A33" s="107" t="s">
        <v>294</v>
      </c>
      <c r="B33" s="108" t="s">
        <v>295</v>
      </c>
      <c r="C33" s="107" t="s">
        <v>112</v>
      </c>
      <c r="D33" s="57" t="s">
        <v>100</v>
      </c>
      <c r="E33" s="57" t="s">
        <v>234</v>
      </c>
      <c r="F33" s="57" t="s">
        <v>286</v>
      </c>
      <c r="G33" s="57" t="s">
        <v>254</v>
      </c>
      <c r="H33" s="108" t="s">
        <v>296</v>
      </c>
      <c r="J33" s="101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ht="34">
      <c r="A34" s="107" t="s">
        <v>297</v>
      </c>
      <c r="B34" s="108" t="s">
        <v>298</v>
      </c>
      <c r="C34" s="107" t="s">
        <v>112</v>
      </c>
      <c r="D34" s="57" t="s">
        <v>100</v>
      </c>
      <c r="E34" s="57" t="s">
        <v>234</v>
      </c>
      <c r="F34" s="57" t="s">
        <v>286</v>
      </c>
      <c r="G34" s="57" t="s">
        <v>254</v>
      </c>
      <c r="H34" s="108" t="s">
        <v>299</v>
      </c>
      <c r="J34" s="101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ht="34">
      <c r="A35" s="107" t="s">
        <v>300</v>
      </c>
      <c r="B35" s="108" t="s">
        <v>301</v>
      </c>
      <c r="C35" s="107" t="s">
        <v>112</v>
      </c>
      <c r="D35" s="57" t="s">
        <v>100</v>
      </c>
      <c r="E35" s="57" t="s">
        <v>234</v>
      </c>
      <c r="F35" s="57" t="s">
        <v>286</v>
      </c>
      <c r="G35" s="57" t="s">
        <v>254</v>
      </c>
      <c r="H35" s="108" t="s">
        <v>302</v>
      </c>
      <c r="J35" s="101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ht="34">
      <c r="A36" s="107" t="s">
        <v>303</v>
      </c>
      <c r="B36" s="108" t="s">
        <v>304</v>
      </c>
      <c r="C36" s="107" t="s">
        <v>112</v>
      </c>
      <c r="D36" s="57" t="s">
        <v>100</v>
      </c>
      <c r="E36" s="57" t="s">
        <v>234</v>
      </c>
      <c r="F36" s="57" t="s">
        <v>286</v>
      </c>
      <c r="G36" s="57" t="s">
        <v>254</v>
      </c>
      <c r="H36" s="108" t="s">
        <v>305</v>
      </c>
      <c r="J36" s="101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ht="34">
      <c r="A37" s="107" t="s">
        <v>306</v>
      </c>
      <c r="B37" s="108" t="s">
        <v>307</v>
      </c>
      <c r="C37" s="107" t="s">
        <v>112</v>
      </c>
      <c r="D37" s="57" t="s">
        <v>100</v>
      </c>
      <c r="E37" s="57" t="s">
        <v>234</v>
      </c>
      <c r="F37" s="57" t="s">
        <v>286</v>
      </c>
      <c r="G37" s="57" t="s">
        <v>254</v>
      </c>
      <c r="H37" s="108" t="s">
        <v>308</v>
      </c>
      <c r="J37" s="101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ht="34">
      <c r="A38" s="107" t="s">
        <v>309</v>
      </c>
      <c r="B38" s="108" t="s">
        <v>307</v>
      </c>
      <c r="C38" s="107" t="s">
        <v>112</v>
      </c>
      <c r="D38" s="57" t="s">
        <v>100</v>
      </c>
      <c r="E38" s="57" t="s">
        <v>234</v>
      </c>
      <c r="F38" s="57" t="s">
        <v>286</v>
      </c>
      <c r="G38" s="57" t="s">
        <v>254</v>
      </c>
      <c r="H38" s="109" t="s">
        <v>308</v>
      </c>
      <c r="J38" s="101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>
      <c r="A39" s="110" t="s">
        <v>310</v>
      </c>
      <c r="B39" s="111"/>
      <c r="C39" s="111"/>
      <c r="D39" s="111"/>
      <c r="E39" s="111"/>
      <c r="F39" s="111"/>
      <c r="G39" s="111"/>
      <c r="H39" s="112"/>
      <c r="J39" s="101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ht="17">
      <c r="A40" s="57" t="s">
        <v>311</v>
      </c>
      <c r="B40" s="108" t="s">
        <v>312</v>
      </c>
      <c r="C40" s="107" t="s">
        <v>115</v>
      </c>
      <c r="D40" s="57" t="s">
        <v>100</v>
      </c>
      <c r="E40" s="57" t="s">
        <v>234</v>
      </c>
      <c r="F40" s="57" t="s">
        <v>286</v>
      </c>
      <c r="G40" s="57" t="s">
        <v>254</v>
      </c>
      <c r="H40" s="113" t="s">
        <v>313</v>
      </c>
      <c r="J40" s="101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ht="34">
      <c r="A41" s="107" t="s">
        <v>314</v>
      </c>
      <c r="B41" s="108" t="s">
        <v>315</v>
      </c>
      <c r="C41" s="107" t="s">
        <v>115</v>
      </c>
      <c r="D41" s="57" t="s">
        <v>100</v>
      </c>
      <c r="E41" s="57" t="s">
        <v>234</v>
      </c>
      <c r="F41" s="57" t="s">
        <v>286</v>
      </c>
      <c r="G41" s="57" t="s">
        <v>254</v>
      </c>
      <c r="H41" s="113" t="s">
        <v>316</v>
      </c>
      <c r="J41" s="101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ht="17">
      <c r="A42" s="107" t="s">
        <v>317</v>
      </c>
      <c r="B42" s="108" t="s">
        <v>318</v>
      </c>
      <c r="C42" s="107" t="s">
        <v>115</v>
      </c>
      <c r="D42" s="57" t="s">
        <v>100</v>
      </c>
      <c r="E42" s="57" t="s">
        <v>234</v>
      </c>
      <c r="F42" s="57" t="s">
        <v>286</v>
      </c>
      <c r="G42" s="57" t="s">
        <v>254</v>
      </c>
      <c r="H42" s="113" t="s">
        <v>319</v>
      </c>
      <c r="J42" s="101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ht="17">
      <c r="A43" s="107" t="s">
        <v>320</v>
      </c>
      <c r="B43" s="108" t="s">
        <v>321</v>
      </c>
      <c r="C43" s="107" t="s">
        <v>115</v>
      </c>
      <c r="D43" s="57" t="s">
        <v>100</v>
      </c>
      <c r="E43" s="57" t="s">
        <v>234</v>
      </c>
      <c r="F43" s="57" t="s">
        <v>286</v>
      </c>
      <c r="G43" s="57" t="s">
        <v>254</v>
      </c>
      <c r="H43" s="113" t="s">
        <v>322</v>
      </c>
      <c r="J43" s="101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ht="34">
      <c r="A44" s="107" t="s">
        <v>323</v>
      </c>
      <c r="B44" s="108" t="s">
        <v>324</v>
      </c>
      <c r="C44" s="107" t="s">
        <v>115</v>
      </c>
      <c r="D44" s="57" t="s">
        <v>100</v>
      </c>
      <c r="E44" s="57" t="s">
        <v>234</v>
      </c>
      <c r="F44" s="57" t="s">
        <v>286</v>
      </c>
      <c r="G44" s="57" t="s">
        <v>254</v>
      </c>
      <c r="H44" s="109" t="s">
        <v>325</v>
      </c>
      <c r="J44" s="101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ht="34">
      <c r="A45" s="107" t="s">
        <v>326</v>
      </c>
      <c r="B45" s="108" t="s">
        <v>327</v>
      </c>
      <c r="C45" s="107" t="s">
        <v>115</v>
      </c>
      <c r="D45" s="57" t="s">
        <v>100</v>
      </c>
      <c r="E45" s="57" t="s">
        <v>234</v>
      </c>
      <c r="F45" s="57" t="s">
        <v>286</v>
      </c>
      <c r="G45" s="57" t="s">
        <v>254</v>
      </c>
      <c r="H45" s="109" t="s">
        <v>328</v>
      </c>
      <c r="J45" s="101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ht="34">
      <c r="A46" s="107" t="s">
        <v>329</v>
      </c>
      <c r="B46" s="108" t="s">
        <v>330</v>
      </c>
      <c r="C46" s="107" t="s">
        <v>115</v>
      </c>
      <c r="D46" s="57" t="s">
        <v>100</v>
      </c>
      <c r="E46" s="57" t="s">
        <v>234</v>
      </c>
      <c r="F46" s="57" t="s">
        <v>286</v>
      </c>
      <c r="G46" s="57" t="s">
        <v>254</v>
      </c>
      <c r="H46" s="109" t="s">
        <v>331</v>
      </c>
      <c r="J46" s="101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ht="17">
      <c r="A47" s="107" t="s">
        <v>332</v>
      </c>
      <c r="B47" s="108" t="s">
        <v>333</v>
      </c>
      <c r="C47" s="107" t="s">
        <v>115</v>
      </c>
      <c r="D47" s="57" t="s">
        <v>100</v>
      </c>
      <c r="E47" s="57" t="s">
        <v>234</v>
      </c>
      <c r="F47" s="57" t="s">
        <v>286</v>
      </c>
      <c r="G47" s="57" t="s">
        <v>254</v>
      </c>
      <c r="H47" s="109" t="s">
        <v>334</v>
      </c>
      <c r="J47" s="101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ht="17">
      <c r="A48" s="107" t="s">
        <v>335</v>
      </c>
      <c r="B48" s="108" t="s">
        <v>336</v>
      </c>
      <c r="C48" s="107" t="s">
        <v>115</v>
      </c>
      <c r="D48" s="57" t="s">
        <v>100</v>
      </c>
      <c r="E48" s="57" t="s">
        <v>234</v>
      </c>
      <c r="F48" s="57" t="s">
        <v>286</v>
      </c>
      <c r="G48" s="57" t="s">
        <v>254</v>
      </c>
      <c r="H48" s="109" t="s">
        <v>337</v>
      </c>
      <c r="J48" s="101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ht="34">
      <c r="A49" s="107" t="s">
        <v>338</v>
      </c>
      <c r="B49" s="108" t="s">
        <v>339</v>
      </c>
      <c r="C49" s="107" t="s">
        <v>115</v>
      </c>
      <c r="D49" s="57" t="s">
        <v>100</v>
      </c>
      <c r="E49" s="57" t="s">
        <v>234</v>
      </c>
      <c r="F49" s="57" t="s">
        <v>286</v>
      </c>
      <c r="G49" s="57" t="s">
        <v>254</v>
      </c>
      <c r="H49" s="109" t="s">
        <v>340</v>
      </c>
      <c r="J49" s="101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>
      <c r="A50" s="57"/>
      <c r="B50" s="108"/>
      <c r="C50" s="107"/>
      <c r="D50" s="57"/>
      <c r="E50" s="57"/>
      <c r="F50" s="57"/>
      <c r="G50" s="57"/>
      <c r="H50" s="109"/>
      <c r="J50" s="101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pans="1:20">
      <c r="A51" s="57"/>
      <c r="B51" s="108"/>
      <c r="C51" s="107"/>
      <c r="D51" s="57"/>
      <c r="E51" s="57"/>
      <c r="F51" s="57"/>
      <c r="G51" s="57"/>
      <c r="H51" s="109"/>
      <c r="J51" s="101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>
      <c r="A52" s="57"/>
      <c r="B52" s="108"/>
      <c r="C52" s="107"/>
      <c r="D52" s="57"/>
      <c r="E52" s="57"/>
      <c r="F52" s="57"/>
      <c r="G52" s="57"/>
      <c r="H52" s="109"/>
      <c r="J52" s="101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>
      <c r="A53" s="57"/>
      <c r="B53" s="108"/>
      <c r="C53" s="107"/>
      <c r="D53" s="57"/>
      <c r="E53" s="57"/>
      <c r="F53" s="57"/>
      <c r="G53" s="57"/>
      <c r="H53" s="109"/>
      <c r="J53" s="101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>
      <c r="A54" s="57"/>
      <c r="B54" s="108"/>
      <c r="C54" s="107"/>
      <c r="D54" s="57"/>
      <c r="E54" s="57"/>
      <c r="F54" s="57"/>
      <c r="G54" s="57"/>
      <c r="H54" s="109"/>
      <c r="J54" s="101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ht="17">
      <c r="A55" s="65" t="s">
        <v>198</v>
      </c>
      <c r="B55" s="66" t="s">
        <v>199</v>
      </c>
      <c r="C55" s="114" t="s">
        <v>121</v>
      </c>
      <c r="D55" s="65" t="s">
        <v>94</v>
      </c>
      <c r="E55" s="65"/>
      <c r="F55" s="65"/>
      <c r="G55" s="65"/>
      <c r="H55" s="66"/>
    </row>
  </sheetData>
  <mergeCells count="4">
    <mergeCell ref="A1:J1"/>
    <mergeCell ref="A18:H18"/>
    <mergeCell ref="A29:H29"/>
    <mergeCell ref="A39:H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7441-FC81-9E41-A98E-1C957B8355CF}">
  <dimension ref="B2:H29"/>
  <sheetViews>
    <sheetView workbookViewId="0">
      <selection activeCell="T31" activeCellId="1" sqref="S13 T31"/>
    </sheetView>
  </sheetViews>
  <sheetFormatPr baseColWidth="10" defaultColWidth="7.140625" defaultRowHeight="13"/>
  <cols>
    <col min="1" max="1" width="0.7109375" style="30" customWidth="1"/>
    <col min="2" max="2" width="14.28515625" style="30" customWidth="1"/>
    <col min="3" max="3" width="13.85546875" style="30" bestFit="1" customWidth="1"/>
    <col min="4" max="4" width="12.85546875" style="30" bestFit="1" customWidth="1"/>
    <col min="5" max="5" width="28.28515625" style="30" customWidth="1"/>
    <col min="6" max="6" width="1.28515625" style="30" customWidth="1"/>
    <col min="7" max="7" width="20.28515625" style="30" customWidth="1"/>
    <col min="8" max="16384" width="7.140625" style="30"/>
  </cols>
  <sheetData>
    <row r="2" spans="2:8">
      <c r="B2" s="72" t="s">
        <v>205</v>
      </c>
      <c r="C2" s="71">
        <v>39958</v>
      </c>
    </row>
    <row r="4" spans="2:8" ht="14">
      <c r="B4" s="70" t="s">
        <v>204</v>
      </c>
      <c r="C4" s="70" t="s">
        <v>103</v>
      </c>
      <c r="D4" s="70" t="s">
        <v>203</v>
      </c>
      <c r="E4" s="70" t="s">
        <v>107</v>
      </c>
      <c r="G4" s="69" t="s">
        <v>88</v>
      </c>
      <c r="H4" s="68">
        <f>COUNTIF($C$5:$C$28, G4)</f>
        <v>12</v>
      </c>
    </row>
    <row r="5" spans="2:8" ht="17">
      <c r="B5" s="73" t="s">
        <v>216</v>
      </c>
      <c r="C5" s="67" t="s">
        <v>88</v>
      </c>
      <c r="D5" s="67"/>
      <c r="E5" s="67"/>
      <c r="G5" s="69" t="s">
        <v>90</v>
      </c>
      <c r="H5" s="68">
        <f>COUNTIF($C$5:$C$28, G5)</f>
        <v>0</v>
      </c>
    </row>
    <row r="6" spans="2:8" ht="17">
      <c r="B6" s="73" t="s">
        <v>217</v>
      </c>
      <c r="C6" s="67" t="s">
        <v>88</v>
      </c>
      <c r="D6" s="67"/>
      <c r="E6" s="67"/>
      <c r="G6" s="69" t="s">
        <v>94</v>
      </c>
      <c r="H6" s="68">
        <f>COUNTIF($C$5:$C$28, G6)</f>
        <v>0</v>
      </c>
    </row>
    <row r="7" spans="2:8" ht="17">
      <c r="B7" s="73" t="s">
        <v>218</v>
      </c>
      <c r="C7" s="67" t="s">
        <v>88</v>
      </c>
      <c r="D7" s="67"/>
      <c r="E7" s="67"/>
      <c r="G7" s="69" t="s">
        <v>92</v>
      </c>
      <c r="H7" s="68">
        <f>COUNTIF($C$5:$C$28, G7)</f>
        <v>0</v>
      </c>
    </row>
    <row r="8" spans="2:8" ht="17">
      <c r="B8" s="73" t="s">
        <v>219</v>
      </c>
      <c r="C8" s="67" t="s">
        <v>88</v>
      </c>
      <c r="D8" s="67"/>
      <c r="E8" s="67"/>
      <c r="G8" s="69" t="s">
        <v>202</v>
      </c>
      <c r="H8" s="68" t="str">
        <f>COUNTA(B5:B28)-H6 &amp;" / " &amp; COUNTA(B5:B28)</f>
        <v>12 / 12</v>
      </c>
    </row>
    <row r="9" spans="2:8" ht="17">
      <c r="B9" s="73" t="s">
        <v>220</v>
      </c>
      <c r="C9" s="67" t="s">
        <v>88</v>
      </c>
      <c r="D9" s="67"/>
      <c r="E9" s="67"/>
    </row>
    <row r="10" spans="2:8" ht="17">
      <c r="B10" s="73" t="s">
        <v>221</v>
      </c>
      <c r="C10" s="67" t="s">
        <v>88</v>
      </c>
      <c r="D10" s="67"/>
      <c r="E10" s="67"/>
    </row>
    <row r="11" spans="2:8" ht="16">
      <c r="B11" s="74" t="s">
        <v>222</v>
      </c>
      <c r="C11" s="67" t="s">
        <v>88</v>
      </c>
      <c r="D11" s="67"/>
      <c r="E11" s="67"/>
    </row>
    <row r="12" spans="2:8" ht="16">
      <c r="B12" s="74" t="s">
        <v>223</v>
      </c>
      <c r="C12" s="67" t="s">
        <v>88</v>
      </c>
      <c r="D12" s="67"/>
      <c r="E12" s="67"/>
    </row>
    <row r="13" spans="2:8" ht="16">
      <c r="B13" s="74" t="s">
        <v>224</v>
      </c>
      <c r="C13" s="67" t="s">
        <v>88</v>
      </c>
      <c r="D13" s="67"/>
      <c r="E13" s="67"/>
    </row>
    <row r="14" spans="2:8" ht="16">
      <c r="B14" s="74" t="s">
        <v>225</v>
      </c>
      <c r="C14" s="67" t="s">
        <v>88</v>
      </c>
      <c r="D14" s="67"/>
      <c r="E14" s="67"/>
    </row>
    <row r="15" spans="2:8" ht="16">
      <c r="B15" s="74" t="s">
        <v>226</v>
      </c>
      <c r="C15" s="67" t="s">
        <v>88</v>
      </c>
      <c r="D15" s="67"/>
      <c r="E15" s="67"/>
    </row>
    <row r="16" spans="2:8" ht="16">
      <c r="B16" s="74" t="s">
        <v>227</v>
      </c>
      <c r="C16" s="67" t="s">
        <v>88</v>
      </c>
      <c r="D16" s="67"/>
      <c r="E16" s="67"/>
    </row>
    <row r="17" spans="2:5" ht="16">
      <c r="B17" s="73"/>
      <c r="C17" s="67"/>
      <c r="D17" s="67"/>
      <c r="E17" s="67"/>
    </row>
    <row r="18" spans="2:5" ht="16">
      <c r="B18" s="73"/>
      <c r="C18" s="67"/>
      <c r="D18" s="67"/>
      <c r="E18" s="67"/>
    </row>
    <row r="19" spans="2:5" ht="16">
      <c r="B19" s="73"/>
      <c r="C19" s="67"/>
      <c r="D19" s="67"/>
      <c r="E19" s="67"/>
    </row>
    <row r="20" spans="2:5">
      <c r="B20" s="67"/>
      <c r="C20" s="67"/>
      <c r="D20" s="67"/>
      <c r="E20" s="67"/>
    </row>
    <row r="21" spans="2:5">
      <c r="B21" s="67"/>
      <c r="C21" s="67"/>
      <c r="D21" s="67"/>
      <c r="E21" s="67"/>
    </row>
    <row r="22" spans="2:5">
      <c r="B22" s="67"/>
      <c r="C22" s="67"/>
      <c r="D22" s="67"/>
      <c r="E22" s="67"/>
    </row>
    <row r="23" spans="2:5">
      <c r="B23" s="67"/>
      <c r="C23" s="67"/>
      <c r="D23" s="67"/>
      <c r="E23" s="67"/>
    </row>
    <row r="24" spans="2:5">
      <c r="B24" s="67"/>
      <c r="C24" s="67"/>
      <c r="D24" s="67"/>
      <c r="E24" s="67"/>
    </row>
    <row r="25" spans="2:5">
      <c r="B25" s="67"/>
      <c r="C25" s="67"/>
      <c r="D25" s="67"/>
      <c r="E25" s="67"/>
    </row>
    <row r="26" spans="2:5">
      <c r="B26" s="67"/>
      <c r="C26" s="67"/>
      <c r="D26" s="67"/>
      <c r="E26" s="67"/>
    </row>
    <row r="27" spans="2:5">
      <c r="B27" s="67"/>
      <c r="C27" s="67"/>
      <c r="D27" s="67"/>
      <c r="E27" s="67"/>
    </row>
    <row r="28" spans="2:5">
      <c r="B28" s="67"/>
      <c r="C28" s="67"/>
      <c r="D28" s="67"/>
      <c r="E28" s="67"/>
    </row>
    <row r="29" spans="2:5">
      <c r="B29" s="79" t="s">
        <v>201</v>
      </c>
      <c r="C29" s="80"/>
      <c r="D29" s="80"/>
      <c r="E29" s="81"/>
    </row>
  </sheetData>
  <mergeCells count="1">
    <mergeCell ref="B29:E29"/>
  </mergeCells>
  <dataValidations count="1">
    <dataValidation type="list" allowBlank="1" showInputMessage="1" showErrorMessage="1" sqref="C5:C28" xr:uid="{D9E031D2-F255-7F43-B4DB-E94E963CAB1D}">
      <formula1>"Passed, Failed, Not Run, Blocked"</formula1>
    </dataValidation>
  </dataValidations>
  <pageMargins left="0.75" right="0.75" top="1" bottom="1" header="0.5" footer="0.5"/>
  <headerFooter alignWithMargin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DE7F-C73F-6B48-9463-3B12615969E1}">
  <dimension ref="B2:H29"/>
  <sheetViews>
    <sheetView workbookViewId="0">
      <selection activeCell="E14" sqref="E14"/>
    </sheetView>
  </sheetViews>
  <sheetFormatPr baseColWidth="10" defaultColWidth="7.140625" defaultRowHeight="13"/>
  <cols>
    <col min="1" max="1" width="0.7109375" style="30" customWidth="1"/>
    <col min="2" max="2" width="14.28515625" style="30" customWidth="1"/>
    <col min="3" max="3" width="13.85546875" style="30" bestFit="1" customWidth="1"/>
    <col min="4" max="4" width="12.85546875" style="30" bestFit="1" customWidth="1"/>
    <col min="5" max="5" width="28.28515625" style="30" customWidth="1"/>
    <col min="6" max="6" width="1.28515625" style="30" customWidth="1"/>
    <col min="7" max="7" width="20.28515625" style="30" customWidth="1"/>
    <col min="8" max="16384" width="7.140625" style="30"/>
  </cols>
  <sheetData>
    <row r="2" spans="2:8">
      <c r="B2" s="72" t="s">
        <v>205</v>
      </c>
      <c r="C2" s="71">
        <v>39958</v>
      </c>
    </row>
    <row r="4" spans="2:8" ht="14">
      <c r="B4" s="70" t="s">
        <v>204</v>
      </c>
      <c r="C4" s="70" t="s">
        <v>103</v>
      </c>
      <c r="D4" s="70" t="s">
        <v>203</v>
      </c>
      <c r="E4" s="70" t="s">
        <v>107</v>
      </c>
      <c r="G4" s="69" t="s">
        <v>88</v>
      </c>
      <c r="H4" s="68">
        <f>COUNTIF($C$5:$C$28, G4)</f>
        <v>12</v>
      </c>
    </row>
    <row r="5" spans="2:8" ht="17">
      <c r="B5" s="73" t="s">
        <v>206</v>
      </c>
      <c r="C5" s="67" t="s">
        <v>88</v>
      </c>
      <c r="D5" s="94" t="s">
        <v>234</v>
      </c>
      <c r="E5" s="67"/>
      <c r="G5" s="69" t="s">
        <v>90</v>
      </c>
      <c r="H5" s="68">
        <f>COUNTIF($C$5:$C$28, G5)</f>
        <v>1</v>
      </c>
    </row>
    <row r="6" spans="2:8" ht="17">
      <c r="B6" s="73" t="s">
        <v>207</v>
      </c>
      <c r="C6" s="67" t="s">
        <v>88</v>
      </c>
      <c r="D6" s="94" t="s">
        <v>234</v>
      </c>
      <c r="E6" s="67"/>
      <c r="G6" s="69" t="s">
        <v>234</v>
      </c>
      <c r="H6" s="68">
        <f>COUNTIF($C$5:$C$28, G6)</f>
        <v>2</v>
      </c>
    </row>
    <row r="7" spans="2:8" ht="17">
      <c r="B7" s="73" t="s">
        <v>208</v>
      </c>
      <c r="C7" s="67" t="s">
        <v>88</v>
      </c>
      <c r="D7" s="94" t="s">
        <v>234</v>
      </c>
      <c r="E7" s="67"/>
      <c r="G7" s="69" t="s">
        <v>92</v>
      </c>
      <c r="H7" s="68">
        <f>COUNTIF($C$5:$C$28, G7)</f>
        <v>0</v>
      </c>
    </row>
    <row r="8" spans="2:8" ht="16">
      <c r="B8" s="74" t="s">
        <v>209</v>
      </c>
      <c r="C8" s="67" t="s">
        <v>88</v>
      </c>
      <c r="D8" s="94" t="s">
        <v>234</v>
      </c>
      <c r="E8" s="67"/>
      <c r="G8" s="69" t="s">
        <v>202</v>
      </c>
      <c r="H8" s="68" t="str">
        <f>COUNTA(B5:B28)-H6 &amp;" / " &amp; COUNTA(B5:B28)</f>
        <v>13 / 15</v>
      </c>
    </row>
    <row r="9" spans="2:8" ht="16">
      <c r="B9" s="74" t="s">
        <v>210</v>
      </c>
      <c r="C9" s="67" t="s">
        <v>88</v>
      </c>
      <c r="D9" s="94" t="s">
        <v>234</v>
      </c>
      <c r="E9" s="67"/>
    </row>
    <row r="10" spans="2:8" ht="17">
      <c r="B10" s="73" t="s">
        <v>206</v>
      </c>
      <c r="C10" s="67" t="s">
        <v>88</v>
      </c>
      <c r="D10" s="94" t="s">
        <v>234</v>
      </c>
      <c r="E10" s="67"/>
    </row>
    <row r="11" spans="2:8" ht="17">
      <c r="B11" s="73" t="s">
        <v>207</v>
      </c>
      <c r="C11" s="67" t="s">
        <v>88</v>
      </c>
      <c r="D11" s="94" t="s">
        <v>234</v>
      </c>
      <c r="E11" s="67"/>
    </row>
    <row r="12" spans="2:8" ht="17">
      <c r="B12" s="73" t="s">
        <v>208</v>
      </c>
      <c r="C12" s="67" t="s">
        <v>88</v>
      </c>
      <c r="D12" s="94" t="s">
        <v>234</v>
      </c>
      <c r="E12" s="67"/>
    </row>
    <row r="13" spans="2:8" ht="16">
      <c r="B13" s="74" t="s">
        <v>209</v>
      </c>
      <c r="C13" s="67" t="s">
        <v>88</v>
      </c>
      <c r="D13" s="94" t="s">
        <v>234</v>
      </c>
      <c r="E13" s="67"/>
    </row>
    <row r="14" spans="2:8" ht="16">
      <c r="B14" s="74" t="s">
        <v>210</v>
      </c>
      <c r="C14" s="67" t="s">
        <v>90</v>
      </c>
      <c r="D14" s="94" t="s">
        <v>234</v>
      </c>
      <c r="E14" s="67"/>
    </row>
    <row r="15" spans="2:8" ht="16">
      <c r="B15" s="74" t="s">
        <v>211</v>
      </c>
      <c r="C15" s="67" t="s">
        <v>88</v>
      </c>
      <c r="D15" s="94" t="s">
        <v>234</v>
      </c>
      <c r="E15" s="67"/>
    </row>
    <row r="16" spans="2:8" ht="16">
      <c r="B16" s="75" t="s">
        <v>212</v>
      </c>
      <c r="C16" s="67" t="s">
        <v>88</v>
      </c>
      <c r="D16" s="94" t="s">
        <v>234</v>
      </c>
      <c r="E16" s="67"/>
    </row>
    <row r="17" spans="2:5" ht="17">
      <c r="B17" s="73" t="s">
        <v>213</v>
      </c>
      <c r="C17" s="67" t="s">
        <v>88</v>
      </c>
      <c r="D17" s="94" t="s">
        <v>234</v>
      </c>
      <c r="E17" s="67"/>
    </row>
    <row r="18" spans="2:5" ht="17">
      <c r="B18" s="73" t="s">
        <v>214</v>
      </c>
      <c r="C18" s="67" t="s">
        <v>234</v>
      </c>
      <c r="D18" s="94" t="s">
        <v>234</v>
      </c>
      <c r="E18" s="67"/>
    </row>
    <row r="19" spans="2:5" ht="17">
      <c r="B19" s="73" t="s">
        <v>215</v>
      </c>
      <c r="C19" s="67" t="s">
        <v>234</v>
      </c>
      <c r="D19" s="94" t="s">
        <v>234</v>
      </c>
      <c r="E19" s="67"/>
    </row>
    <row r="20" spans="2:5">
      <c r="B20" s="67"/>
      <c r="C20" s="67"/>
      <c r="D20" s="67"/>
      <c r="E20" s="67"/>
    </row>
    <row r="21" spans="2:5">
      <c r="B21" s="67"/>
      <c r="C21" s="67"/>
      <c r="D21" s="67"/>
      <c r="E21" s="67"/>
    </row>
    <row r="22" spans="2:5">
      <c r="B22" s="67"/>
      <c r="C22" s="67"/>
      <c r="D22" s="67"/>
      <c r="E22" s="67"/>
    </row>
    <row r="23" spans="2:5">
      <c r="B23" s="67"/>
      <c r="C23" s="67"/>
      <c r="D23" s="67"/>
      <c r="E23" s="67"/>
    </row>
    <row r="24" spans="2:5">
      <c r="B24" s="67"/>
      <c r="C24" s="67"/>
      <c r="D24" s="67"/>
      <c r="E24" s="67"/>
    </row>
    <row r="25" spans="2:5">
      <c r="B25" s="67"/>
      <c r="C25" s="67"/>
      <c r="D25" s="67"/>
      <c r="E25" s="67"/>
    </row>
    <row r="26" spans="2:5">
      <c r="B26" s="67"/>
      <c r="C26" s="67"/>
      <c r="D26" s="67"/>
      <c r="E26" s="67"/>
    </row>
    <row r="27" spans="2:5">
      <c r="B27" s="67"/>
      <c r="C27" s="67"/>
      <c r="D27" s="67"/>
      <c r="E27" s="67"/>
    </row>
    <row r="28" spans="2:5">
      <c r="B28" s="67"/>
      <c r="C28" s="67"/>
      <c r="D28" s="67"/>
      <c r="E28" s="67"/>
    </row>
    <row r="29" spans="2:5">
      <c r="B29" s="79" t="s">
        <v>201</v>
      </c>
      <c r="C29" s="80"/>
      <c r="D29" s="80"/>
      <c r="E29" s="81"/>
    </row>
  </sheetData>
  <mergeCells count="1">
    <mergeCell ref="B29:E29"/>
  </mergeCells>
  <dataValidations count="2">
    <dataValidation type="list" allowBlank="1" showInputMessage="1" showErrorMessage="1" sqref="C5:C17 C20:C28" xr:uid="{AC8F5CFE-FDBD-154C-9AC9-5A4C6891AC1D}">
      <formula1>"Passed, Failed, Not Run, Blocked"</formula1>
    </dataValidation>
    <dataValidation type="list" allowBlank="1" showInputMessage="1" showErrorMessage="1" sqref="C18:C19" xr:uid="{968C0768-A390-064F-ADB5-D8C0F9E43136}">
      <formula1>"Passed, Failed, Not Run, Blocked, N/A"</formula1>
    </dataValidation>
  </dataValidations>
  <pageMargins left="0.75" right="0.75" top="1" bottom="1" header="0.5" footer="0.5"/>
  <headerFooter alignWithMargin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BD5C-23BE-D946-8FBC-0638F39B7E91}">
  <dimension ref="B2:H29"/>
  <sheetViews>
    <sheetView workbookViewId="0">
      <selection activeCell="E16" sqref="E16"/>
    </sheetView>
  </sheetViews>
  <sheetFormatPr baseColWidth="10" defaultColWidth="7.140625" defaultRowHeight="13"/>
  <cols>
    <col min="1" max="1" width="0.7109375" style="30" customWidth="1"/>
    <col min="2" max="2" width="14.28515625" style="30" customWidth="1"/>
    <col min="3" max="3" width="13.85546875" style="30" bestFit="1" customWidth="1"/>
    <col min="4" max="4" width="12.85546875" style="30" bestFit="1" customWidth="1"/>
    <col min="5" max="5" width="28.28515625" style="30" customWidth="1"/>
    <col min="6" max="6" width="1.28515625" style="30" customWidth="1"/>
    <col min="7" max="7" width="20.28515625" style="30" customWidth="1"/>
    <col min="8" max="16384" width="7.140625" style="30"/>
  </cols>
  <sheetData>
    <row r="2" spans="2:8">
      <c r="B2" s="72" t="s">
        <v>205</v>
      </c>
      <c r="C2" s="71">
        <v>39958</v>
      </c>
    </row>
    <row r="4" spans="2:8" ht="14">
      <c r="B4" s="70" t="s">
        <v>204</v>
      </c>
      <c r="C4" s="70" t="s">
        <v>103</v>
      </c>
      <c r="D4" s="70" t="s">
        <v>203</v>
      </c>
      <c r="E4" s="70" t="s">
        <v>107</v>
      </c>
      <c r="G4" s="69" t="s">
        <v>88</v>
      </c>
      <c r="H4" s="68">
        <f>COUNTIF($C$5:$C$28, G4)</f>
        <v>13</v>
      </c>
    </row>
    <row r="5" spans="2:8" ht="16">
      <c r="B5" s="93" t="s">
        <v>235</v>
      </c>
      <c r="C5" s="67" t="s">
        <v>88</v>
      </c>
      <c r="D5" s="67" t="s">
        <v>234</v>
      </c>
      <c r="E5" s="67"/>
      <c r="G5" s="69" t="s">
        <v>90</v>
      </c>
      <c r="H5" s="68">
        <f>COUNTIF($C$5:$C$28, G5)</f>
        <v>0</v>
      </c>
    </row>
    <row r="6" spans="2:8" ht="16">
      <c r="B6" s="93" t="s">
        <v>236</v>
      </c>
      <c r="C6" s="67" t="s">
        <v>88</v>
      </c>
      <c r="D6" s="67" t="s">
        <v>234</v>
      </c>
      <c r="E6" s="67"/>
      <c r="G6" s="69" t="s">
        <v>94</v>
      </c>
      <c r="H6" s="68">
        <f>COUNTIF($C$5:$C$28, G6)</f>
        <v>0</v>
      </c>
    </row>
    <row r="7" spans="2:8" ht="16">
      <c r="B7" s="93" t="s">
        <v>237</v>
      </c>
      <c r="C7" s="67" t="s">
        <v>88</v>
      </c>
      <c r="D7" s="67" t="s">
        <v>234</v>
      </c>
      <c r="E7" s="67"/>
      <c r="G7" s="69" t="s">
        <v>92</v>
      </c>
      <c r="H7" s="68">
        <f>COUNTIF($C$5:$C$28, G7)</f>
        <v>0</v>
      </c>
    </row>
    <row r="8" spans="2:8" ht="16">
      <c r="B8" s="93" t="s">
        <v>238</v>
      </c>
      <c r="C8" s="67" t="s">
        <v>88</v>
      </c>
      <c r="D8" s="67" t="s">
        <v>234</v>
      </c>
      <c r="E8" s="67"/>
      <c r="G8" s="69" t="s">
        <v>202</v>
      </c>
      <c r="H8" s="68" t="str">
        <f>COUNTA(B5:B28)-H6 &amp;" / " &amp; COUNTA(B5:B28)</f>
        <v>13 / 13</v>
      </c>
    </row>
    <row r="9" spans="2:8" ht="16">
      <c r="B9" s="93" t="s">
        <v>239</v>
      </c>
      <c r="C9" s="67" t="s">
        <v>88</v>
      </c>
      <c r="D9" s="67" t="s">
        <v>234</v>
      </c>
      <c r="E9" s="67"/>
    </row>
    <row r="10" spans="2:8" ht="16">
      <c r="B10" s="93" t="s">
        <v>240</v>
      </c>
      <c r="C10" s="67" t="s">
        <v>88</v>
      </c>
      <c r="D10" s="67" t="s">
        <v>234</v>
      </c>
      <c r="E10" s="67"/>
    </row>
    <row r="11" spans="2:8" ht="16">
      <c r="B11" s="93" t="s">
        <v>241</v>
      </c>
      <c r="C11" s="67" t="s">
        <v>88</v>
      </c>
      <c r="D11" s="67" t="s">
        <v>234</v>
      </c>
      <c r="E11" s="67"/>
    </row>
    <row r="12" spans="2:8" ht="16">
      <c r="B12" s="93" t="s">
        <v>242</v>
      </c>
      <c r="C12" s="67" t="s">
        <v>88</v>
      </c>
      <c r="D12" s="67" t="s">
        <v>234</v>
      </c>
      <c r="E12" s="67"/>
    </row>
    <row r="13" spans="2:8" ht="16">
      <c r="B13" s="93" t="s">
        <v>243</v>
      </c>
      <c r="C13" s="67" t="s">
        <v>88</v>
      </c>
      <c r="D13" s="67" t="s">
        <v>234</v>
      </c>
      <c r="E13" s="67"/>
    </row>
    <row r="14" spans="2:8" ht="16">
      <c r="B14" s="93" t="s">
        <v>244</v>
      </c>
      <c r="C14" s="67" t="s">
        <v>88</v>
      </c>
      <c r="D14" s="67" t="s">
        <v>234</v>
      </c>
      <c r="E14" s="67"/>
    </row>
    <row r="15" spans="2:8" ht="16">
      <c r="B15" s="93" t="s">
        <v>245</v>
      </c>
      <c r="C15" s="67" t="s">
        <v>88</v>
      </c>
      <c r="D15" s="67" t="s">
        <v>234</v>
      </c>
      <c r="E15" s="67"/>
    </row>
    <row r="16" spans="2:8" ht="16">
      <c r="B16" s="93" t="s">
        <v>246</v>
      </c>
      <c r="C16" s="67" t="s">
        <v>88</v>
      </c>
      <c r="D16" s="67" t="s">
        <v>234</v>
      </c>
      <c r="E16" s="67"/>
    </row>
    <row r="17" spans="2:5" ht="16">
      <c r="B17" s="93" t="s">
        <v>247</v>
      </c>
      <c r="C17" s="67" t="s">
        <v>88</v>
      </c>
      <c r="D17" s="67" t="s">
        <v>234</v>
      </c>
      <c r="E17" s="67"/>
    </row>
    <row r="18" spans="2:5" ht="16">
      <c r="B18" s="73"/>
      <c r="C18" s="67"/>
      <c r="D18" s="67"/>
      <c r="E18" s="67"/>
    </row>
    <row r="19" spans="2:5" ht="16">
      <c r="B19" s="73"/>
      <c r="C19" s="67"/>
      <c r="D19" s="67"/>
      <c r="E19" s="67"/>
    </row>
    <row r="20" spans="2:5">
      <c r="B20" s="67"/>
      <c r="C20" s="67"/>
      <c r="D20" s="67"/>
      <c r="E20" s="67"/>
    </row>
    <row r="21" spans="2:5">
      <c r="B21" s="67"/>
      <c r="C21" s="67"/>
      <c r="D21" s="67"/>
      <c r="E21" s="67"/>
    </row>
    <row r="22" spans="2:5">
      <c r="B22" s="67"/>
      <c r="C22" s="67"/>
      <c r="D22" s="67"/>
      <c r="E22" s="67"/>
    </row>
    <row r="23" spans="2:5">
      <c r="B23" s="67"/>
      <c r="C23" s="67"/>
      <c r="D23" s="67"/>
      <c r="E23" s="67"/>
    </row>
    <row r="24" spans="2:5">
      <c r="B24" s="67"/>
      <c r="C24" s="67"/>
      <c r="D24" s="67"/>
      <c r="E24" s="67"/>
    </row>
    <row r="25" spans="2:5">
      <c r="B25" s="67"/>
      <c r="C25" s="67"/>
      <c r="D25" s="67"/>
      <c r="E25" s="67"/>
    </row>
    <row r="26" spans="2:5">
      <c r="B26" s="67"/>
      <c r="C26" s="67"/>
      <c r="D26" s="67"/>
      <c r="E26" s="67"/>
    </row>
    <row r="27" spans="2:5">
      <c r="B27" s="67"/>
      <c r="C27" s="67"/>
      <c r="D27" s="67"/>
      <c r="E27" s="67"/>
    </row>
    <row r="28" spans="2:5">
      <c r="B28" s="67"/>
      <c r="C28" s="67"/>
      <c r="D28" s="67"/>
      <c r="E28" s="67"/>
    </row>
    <row r="29" spans="2:5">
      <c r="B29" s="79" t="s">
        <v>201</v>
      </c>
      <c r="C29" s="80"/>
      <c r="D29" s="80"/>
      <c r="E29" s="81"/>
    </row>
  </sheetData>
  <mergeCells count="1">
    <mergeCell ref="B29:E29"/>
  </mergeCells>
  <dataValidations count="1">
    <dataValidation type="list" allowBlank="1" showInputMessage="1" showErrorMessage="1" sqref="C5:C28" xr:uid="{4C8E73B6-A79B-8547-9E6D-1B296F6121D8}">
      <formula1>"Passed, Failed, Not Run, Blocked"</formula1>
    </dataValidation>
  </dataValidations>
  <pageMargins left="0.75" right="0.75" top="1" bottom="1" header="0.5" footer="0.5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7BD5-6B12-FB49-9109-E4DD76132C07}">
  <dimension ref="B2:H29"/>
  <sheetViews>
    <sheetView workbookViewId="0">
      <selection activeCell="E13" sqref="E13"/>
    </sheetView>
  </sheetViews>
  <sheetFormatPr baseColWidth="10" defaultColWidth="7.140625" defaultRowHeight="13"/>
  <cols>
    <col min="1" max="1" width="0.7109375" style="30" customWidth="1"/>
    <col min="2" max="2" width="14.28515625" style="30" customWidth="1"/>
    <col min="3" max="3" width="13.85546875" style="30" bestFit="1" customWidth="1"/>
    <col min="4" max="4" width="12.85546875" style="30" bestFit="1" customWidth="1"/>
    <col min="5" max="5" width="28.28515625" style="30" customWidth="1"/>
    <col min="6" max="6" width="1.28515625" style="30" customWidth="1"/>
    <col min="7" max="7" width="20.28515625" style="30" customWidth="1"/>
    <col min="8" max="16384" width="7.140625" style="30"/>
  </cols>
  <sheetData>
    <row r="2" spans="2:8">
      <c r="B2" s="72" t="s">
        <v>205</v>
      </c>
      <c r="C2" s="71">
        <v>39958</v>
      </c>
    </row>
    <row r="4" spans="2:8" ht="14">
      <c r="B4" s="70" t="s">
        <v>204</v>
      </c>
      <c r="C4" s="70" t="s">
        <v>103</v>
      </c>
      <c r="D4" s="70" t="s">
        <v>203</v>
      </c>
      <c r="E4" s="70" t="s">
        <v>107</v>
      </c>
      <c r="G4" s="69" t="s">
        <v>88</v>
      </c>
      <c r="H4" s="68">
        <f>COUNTIF($C$5:$C$28, G4)</f>
        <v>6</v>
      </c>
    </row>
    <row r="5" spans="2:8" ht="18">
      <c r="B5" s="92" t="s">
        <v>228</v>
      </c>
      <c r="C5" s="67" t="s">
        <v>88</v>
      </c>
      <c r="D5" s="67"/>
      <c r="E5" s="67"/>
      <c r="G5" s="69" t="s">
        <v>90</v>
      </c>
      <c r="H5" s="68">
        <f>COUNTIF($C$5:$C$28, G5)</f>
        <v>0</v>
      </c>
    </row>
    <row r="6" spans="2:8" ht="18">
      <c r="B6" s="92" t="s">
        <v>229</v>
      </c>
      <c r="C6" s="67" t="s">
        <v>88</v>
      </c>
      <c r="D6" s="67"/>
      <c r="E6" s="67"/>
      <c r="G6" s="69" t="s">
        <v>94</v>
      </c>
      <c r="H6" s="68">
        <f>COUNTIF($C$5:$C$28, G6)</f>
        <v>0</v>
      </c>
    </row>
    <row r="7" spans="2:8" ht="18">
      <c r="B7" s="92" t="s">
        <v>230</v>
      </c>
      <c r="C7" s="67" t="s">
        <v>88</v>
      </c>
      <c r="D7" s="67"/>
      <c r="E7" s="67"/>
      <c r="G7" s="69" t="s">
        <v>92</v>
      </c>
      <c r="H7" s="68">
        <f>COUNTIF($C$5:$C$28, G7)</f>
        <v>0</v>
      </c>
    </row>
    <row r="8" spans="2:8" ht="18">
      <c r="B8" s="92" t="s">
        <v>231</v>
      </c>
      <c r="C8" s="67" t="s">
        <v>88</v>
      </c>
      <c r="D8" s="67"/>
      <c r="E8" s="67"/>
      <c r="G8" s="69" t="s">
        <v>202</v>
      </c>
      <c r="H8" s="68" t="str">
        <f>COUNTA(B5:B28)-H6 &amp;" / " &amp; COUNTA(B5:B28)</f>
        <v>6 / 6</v>
      </c>
    </row>
    <row r="9" spans="2:8" ht="18">
      <c r="B9" s="92" t="s">
        <v>232</v>
      </c>
      <c r="C9" s="67" t="s">
        <v>88</v>
      </c>
      <c r="D9" s="67"/>
      <c r="E9" s="67"/>
    </row>
    <row r="10" spans="2:8" ht="18">
      <c r="B10" s="92" t="s">
        <v>233</v>
      </c>
      <c r="C10" s="67" t="s">
        <v>88</v>
      </c>
      <c r="D10" s="67"/>
      <c r="E10" s="67"/>
    </row>
    <row r="11" spans="2:8" ht="16">
      <c r="B11" s="73"/>
      <c r="C11" s="67"/>
      <c r="D11" s="67"/>
      <c r="E11" s="67"/>
    </row>
    <row r="12" spans="2:8" ht="16">
      <c r="B12" s="73"/>
      <c r="C12" s="67"/>
      <c r="D12" s="67"/>
      <c r="E12" s="67"/>
    </row>
    <row r="13" spans="2:8" ht="16">
      <c r="B13" s="74"/>
      <c r="C13" s="67"/>
      <c r="D13" s="67"/>
      <c r="E13" s="67"/>
    </row>
    <row r="14" spans="2:8" ht="16">
      <c r="B14" s="74"/>
      <c r="C14" s="67"/>
      <c r="D14" s="67"/>
      <c r="E14" s="67"/>
    </row>
    <row r="15" spans="2:8" ht="16">
      <c r="B15" s="74"/>
      <c r="C15" s="67"/>
      <c r="D15" s="67"/>
      <c r="E15" s="67"/>
    </row>
    <row r="16" spans="2:8" ht="16">
      <c r="B16" s="75"/>
      <c r="C16" s="67"/>
      <c r="D16" s="67"/>
      <c r="E16" s="67"/>
    </row>
    <row r="17" spans="2:5" ht="16">
      <c r="B17" s="73"/>
      <c r="C17" s="67"/>
      <c r="D17" s="67"/>
      <c r="E17" s="67"/>
    </row>
    <row r="18" spans="2:5" ht="16">
      <c r="B18" s="73"/>
      <c r="C18" s="67"/>
      <c r="D18" s="67"/>
      <c r="E18" s="67"/>
    </row>
    <row r="19" spans="2:5" ht="16">
      <c r="B19" s="73"/>
      <c r="C19" s="67"/>
      <c r="D19" s="67"/>
      <c r="E19" s="67"/>
    </row>
    <row r="20" spans="2:5">
      <c r="B20" s="67"/>
      <c r="C20" s="67"/>
      <c r="D20" s="67"/>
      <c r="E20" s="67"/>
    </row>
    <row r="21" spans="2:5">
      <c r="B21" s="67"/>
      <c r="C21" s="67"/>
      <c r="D21" s="67"/>
      <c r="E21" s="67"/>
    </row>
    <row r="22" spans="2:5">
      <c r="B22" s="67"/>
      <c r="C22" s="67"/>
      <c r="D22" s="67"/>
      <c r="E22" s="67"/>
    </row>
    <row r="23" spans="2:5">
      <c r="B23" s="67"/>
      <c r="C23" s="67"/>
      <c r="D23" s="67"/>
      <c r="E23" s="67"/>
    </row>
    <row r="24" spans="2:5">
      <c r="B24" s="67"/>
      <c r="C24" s="67"/>
      <c r="D24" s="67"/>
      <c r="E24" s="67"/>
    </row>
    <row r="25" spans="2:5">
      <c r="B25" s="67"/>
      <c r="C25" s="67"/>
      <c r="D25" s="67"/>
      <c r="E25" s="67"/>
    </row>
    <row r="26" spans="2:5">
      <c r="B26" s="67"/>
      <c r="C26" s="67"/>
      <c r="D26" s="67"/>
      <c r="E26" s="67"/>
    </row>
    <row r="27" spans="2:5">
      <c r="B27" s="67"/>
      <c r="C27" s="67"/>
      <c r="D27" s="67"/>
      <c r="E27" s="67"/>
    </row>
    <row r="28" spans="2:5">
      <c r="B28" s="67"/>
      <c r="C28" s="67"/>
      <c r="D28" s="67"/>
      <c r="E28" s="67"/>
    </row>
    <row r="29" spans="2:5">
      <c r="B29" s="79" t="s">
        <v>201</v>
      </c>
      <c r="C29" s="80"/>
      <c r="D29" s="80"/>
      <c r="E29" s="81"/>
    </row>
  </sheetData>
  <mergeCells count="1">
    <mergeCell ref="B29:E29"/>
  </mergeCells>
  <dataValidations count="1">
    <dataValidation type="list" allowBlank="1" showInputMessage="1" showErrorMessage="1" sqref="C5:C28" xr:uid="{F380DEF3-DB70-2F40-9483-6FC5E5A95AD7}">
      <formula1>"Passed, Failed, Not Run, Blocked"</formula1>
    </dataValidation>
  </dataValidations>
  <pageMargins left="0.75" right="0.75" top="1" bottom="1" header="0.5" footer="0.5"/>
  <headerFooter alignWithMargin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2268-E36C-D147-A393-B65EFA87201B}">
  <dimension ref="A2:J24"/>
  <sheetViews>
    <sheetView workbookViewId="0">
      <selection activeCell="B9" sqref="B9"/>
    </sheetView>
  </sheetViews>
  <sheetFormatPr baseColWidth="10" defaultColWidth="7.140625" defaultRowHeight="13"/>
  <cols>
    <col min="1" max="1" width="24.28515625" style="33" customWidth="1"/>
    <col min="2" max="2" width="19.28515625" style="33" customWidth="1"/>
    <col min="3" max="3" width="37.42578125" style="33" bestFit="1" customWidth="1"/>
    <col min="4" max="4" width="12.28515625" style="33" customWidth="1"/>
    <col min="5" max="5" width="12.140625" style="33" customWidth="1"/>
    <col min="6" max="6" width="12.28515625" style="33" customWidth="1"/>
    <col min="7" max="7" width="26.28515625" style="33" customWidth="1"/>
    <col min="8" max="16384" width="7.140625" style="33"/>
  </cols>
  <sheetData>
    <row r="2" spans="1:10" ht="56">
      <c r="A2" s="31" t="s">
        <v>24</v>
      </c>
      <c r="B2" s="31"/>
      <c r="C2" s="31"/>
      <c r="D2" s="31"/>
      <c r="E2" s="31"/>
      <c r="F2" s="31"/>
      <c r="G2" s="31"/>
      <c r="H2" s="32"/>
      <c r="I2" s="32"/>
      <c r="J2" s="32"/>
    </row>
    <row r="4" spans="1:10" ht="17.25" customHeight="1">
      <c r="A4" s="84" t="s">
        <v>25</v>
      </c>
      <c r="B4" s="84"/>
    </row>
    <row r="5" spans="1:10" ht="13.5" customHeight="1">
      <c r="A5" s="34"/>
      <c r="B5" s="34"/>
    </row>
    <row r="6" spans="1:10" ht="14">
      <c r="A6" s="35" t="s">
        <v>69</v>
      </c>
      <c r="B6" s="35"/>
    </row>
    <row r="7" spans="1:10" ht="14">
      <c r="A7" s="36" t="s">
        <v>26</v>
      </c>
      <c r="B7" s="37" t="s">
        <v>71</v>
      </c>
    </row>
    <row r="8" spans="1:10" ht="14">
      <c r="A8" s="36" t="s">
        <v>28</v>
      </c>
      <c r="B8" s="36" t="s">
        <v>72</v>
      </c>
    </row>
    <row r="9" spans="1:10" ht="14">
      <c r="A9" s="36" t="s">
        <v>30</v>
      </c>
      <c r="B9" s="36" t="s">
        <v>70</v>
      </c>
    </row>
    <row r="12" spans="1:10" ht="17.25" customHeight="1">
      <c r="A12" s="34" t="s">
        <v>31</v>
      </c>
    </row>
    <row r="13" spans="1:10" ht="28">
      <c r="A13" s="38" t="s">
        <v>32</v>
      </c>
      <c r="B13" s="38" t="s">
        <v>33</v>
      </c>
      <c r="C13" s="38" t="s">
        <v>34</v>
      </c>
      <c r="D13" s="38" t="s">
        <v>35</v>
      </c>
      <c r="E13" s="38" t="s">
        <v>36</v>
      </c>
      <c r="F13" s="38" t="s">
        <v>37</v>
      </c>
    </row>
    <row r="14" spans="1:10" ht="14">
      <c r="A14" s="36">
        <v>0.6</v>
      </c>
      <c r="B14" s="39">
        <v>40022</v>
      </c>
      <c r="C14" s="36" t="s">
        <v>38</v>
      </c>
      <c r="D14" s="36" t="s">
        <v>39</v>
      </c>
      <c r="E14" s="36" t="s">
        <v>2</v>
      </c>
      <c r="F14" s="36" t="s">
        <v>2</v>
      </c>
    </row>
    <row r="15" spans="1:10" ht="14">
      <c r="A15" s="37" t="s">
        <v>40</v>
      </c>
      <c r="B15" s="39">
        <v>40023</v>
      </c>
      <c r="C15" s="36" t="s">
        <v>29</v>
      </c>
      <c r="D15" s="36" t="s">
        <v>39</v>
      </c>
      <c r="E15" s="36"/>
      <c r="F15" s="36"/>
    </row>
    <row r="16" spans="1:10" ht="14">
      <c r="A16" s="37" t="s">
        <v>27</v>
      </c>
      <c r="B16" s="39">
        <v>40050</v>
      </c>
      <c r="C16" s="36" t="s">
        <v>46</v>
      </c>
      <c r="D16" s="36" t="s">
        <v>39</v>
      </c>
      <c r="E16" s="36"/>
      <c r="F16" s="36"/>
    </row>
    <row r="17" spans="1:6" ht="14">
      <c r="A17" s="37" t="s">
        <v>71</v>
      </c>
      <c r="B17" s="39">
        <v>40067</v>
      </c>
      <c r="C17" s="36" t="s">
        <v>72</v>
      </c>
      <c r="D17" s="36"/>
      <c r="E17" s="36" t="s">
        <v>73</v>
      </c>
      <c r="F17" s="36" t="s">
        <v>74</v>
      </c>
    </row>
    <row r="18" spans="1:6">
      <c r="A18" s="40"/>
      <c r="B18" s="41"/>
      <c r="C18" s="42"/>
      <c r="D18" s="42"/>
      <c r="E18" s="42"/>
      <c r="F18" s="42"/>
    </row>
    <row r="20" spans="1:6" ht="14">
      <c r="A20" s="43" t="s">
        <v>41</v>
      </c>
    </row>
    <row r="21" spans="1:6">
      <c r="A21" s="44" t="s">
        <v>42</v>
      </c>
    </row>
    <row r="22" spans="1:6">
      <c r="A22" s="45" t="s">
        <v>43</v>
      </c>
    </row>
    <row r="23" spans="1:6">
      <c r="A23" s="46" t="s">
        <v>44</v>
      </c>
    </row>
    <row r="24" spans="1:6">
      <c r="A24" s="44" t="s">
        <v>45</v>
      </c>
    </row>
  </sheetData>
  <mergeCells count="1">
    <mergeCell ref="A4:B4"/>
  </mergeCells>
  <phoneticPr fontId="2" type="noConversion"/>
  <pageMargins left="0.2" right="0.2" top="1" bottom="1" header="0.5" footer="0.5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5FBE-C160-364C-A261-11477834E335}">
  <sheetPr codeName="Sheet4"/>
  <dimension ref="A1:E58"/>
  <sheetViews>
    <sheetView zoomScale="75" workbookViewId="0">
      <selection activeCell="B51" sqref="B51"/>
    </sheetView>
  </sheetViews>
  <sheetFormatPr baseColWidth="10" defaultColWidth="8.7109375" defaultRowHeight="16"/>
  <cols>
    <col min="1" max="1" width="102.5703125" customWidth="1"/>
    <col min="2" max="4" width="13.5703125" style="1" customWidth="1"/>
  </cols>
  <sheetData>
    <row r="1" spans="1:5" ht="39" customHeight="1">
      <c r="A1" s="88" t="s">
        <v>5</v>
      </c>
      <c r="B1" s="89"/>
      <c r="C1" s="89"/>
      <c r="D1" s="89"/>
      <c r="E1" s="4"/>
    </row>
    <row r="2" spans="1:5" ht="18">
      <c r="A2" s="90" t="s">
        <v>6</v>
      </c>
      <c r="B2" s="91"/>
      <c r="C2" s="91"/>
      <c r="D2" s="91"/>
      <c r="E2" s="4"/>
    </row>
    <row r="3" spans="1:5" ht="30">
      <c r="A3" s="9" t="s">
        <v>4</v>
      </c>
      <c r="B3" s="8" t="s">
        <v>14</v>
      </c>
      <c r="C3" s="8" t="s">
        <v>15</v>
      </c>
    </row>
    <row r="4" spans="1:5">
      <c r="A4" s="6" t="e">
        <f>#REF!</f>
        <v>#REF!</v>
      </c>
      <c r="B4" s="7"/>
      <c r="C4" s="7"/>
    </row>
    <row r="5" spans="1:5">
      <c r="A5" s="3" t="e">
        <f>#REF!</f>
        <v>#REF!</v>
      </c>
      <c r="B5" s="1" t="s">
        <v>1</v>
      </c>
      <c r="C5" s="1" t="s">
        <v>0</v>
      </c>
    </row>
    <row r="6" spans="1:5">
      <c r="A6" s="3" t="e">
        <f>#REF!</f>
        <v>#REF!</v>
      </c>
      <c r="B6" s="1" t="s">
        <v>1</v>
      </c>
      <c r="C6" s="1" t="s">
        <v>0</v>
      </c>
    </row>
    <row r="7" spans="1:5">
      <c r="A7" s="3" t="e">
        <f>#REF!</f>
        <v>#REF!</v>
      </c>
      <c r="B7" s="1" t="s">
        <v>1</v>
      </c>
      <c r="C7" s="1" t="s">
        <v>0</v>
      </c>
    </row>
    <row r="8" spans="1:5">
      <c r="A8" s="3" t="e">
        <f>#REF!</f>
        <v>#REF!</v>
      </c>
      <c r="B8" s="1" t="s">
        <v>1</v>
      </c>
      <c r="C8" s="1" t="s">
        <v>0</v>
      </c>
    </row>
    <row r="9" spans="1:5">
      <c r="A9" s="3" t="e">
        <f>#REF!</f>
        <v>#REF!</v>
      </c>
      <c r="B9" s="1" t="s">
        <v>1</v>
      </c>
      <c r="C9" s="1" t="s">
        <v>0</v>
      </c>
    </row>
    <row r="10" spans="1:5">
      <c r="A10" s="3" t="e">
        <f>#REF!</f>
        <v>#REF!</v>
      </c>
      <c r="B10" s="1" t="s">
        <v>1</v>
      </c>
      <c r="C10" s="1" t="s">
        <v>0</v>
      </c>
    </row>
    <row r="11" spans="1:5">
      <c r="A11" s="3" t="e">
        <f>#REF!</f>
        <v>#REF!</v>
      </c>
      <c r="B11" s="1" t="s">
        <v>1</v>
      </c>
      <c r="C11" s="1" t="s">
        <v>0</v>
      </c>
    </row>
    <row r="12" spans="1:5">
      <c r="A12" s="3" t="e">
        <f>#REF!</f>
        <v>#REF!</v>
      </c>
      <c r="B12" s="1" t="s">
        <v>1</v>
      </c>
      <c r="C12" s="1" t="s">
        <v>0</v>
      </c>
    </row>
    <row r="13" spans="1:5">
      <c r="A13" s="3" t="e">
        <f>#REF!</f>
        <v>#REF!</v>
      </c>
      <c r="B13" s="1" t="s">
        <v>0</v>
      </c>
      <c r="C13" s="1" t="s">
        <v>0</v>
      </c>
    </row>
    <row r="14" spans="1:5">
      <c r="A14" s="6" t="e">
        <f>#REF!</f>
        <v>#REF!</v>
      </c>
      <c r="B14" s="7"/>
      <c r="C14" s="7"/>
    </row>
    <row r="15" spans="1:5">
      <c r="A15" s="3" t="e">
        <f>#REF!</f>
        <v>#REF!</v>
      </c>
      <c r="B15" s="1" t="s">
        <v>1</v>
      </c>
      <c r="C15" s="1" t="s">
        <v>0</v>
      </c>
    </row>
    <row r="16" spans="1:5">
      <c r="A16" s="3" t="e">
        <f>#REF!</f>
        <v>#REF!</v>
      </c>
      <c r="B16" s="1" t="s">
        <v>1</v>
      </c>
      <c r="C16" s="1" t="s">
        <v>0</v>
      </c>
    </row>
    <row r="17" spans="1:3">
      <c r="A17" s="3" t="e">
        <f>#REF!</f>
        <v>#REF!</v>
      </c>
      <c r="B17" s="1" t="s">
        <v>0</v>
      </c>
      <c r="C17" s="1" t="s">
        <v>0</v>
      </c>
    </row>
    <row r="18" spans="1:3">
      <c r="A18" s="6" t="e">
        <f>#REF!</f>
        <v>#REF!</v>
      </c>
      <c r="B18" s="7"/>
      <c r="C18" s="7"/>
    </row>
    <row r="19" spans="1:3">
      <c r="A19" s="3" t="e">
        <f>#REF!</f>
        <v>#REF!</v>
      </c>
      <c r="B19" s="1" t="s">
        <v>0</v>
      </c>
      <c r="C19" s="1" t="s">
        <v>0</v>
      </c>
    </row>
    <row r="20" spans="1:3">
      <c r="A20" s="3" t="e">
        <f>#REF!</f>
        <v>#REF!</v>
      </c>
      <c r="B20" s="1" t="s">
        <v>1</v>
      </c>
      <c r="C20" s="1" t="s">
        <v>0</v>
      </c>
    </row>
    <row r="21" spans="1:3">
      <c r="A21" s="3" t="e">
        <f>#REF!</f>
        <v>#REF!</v>
      </c>
      <c r="B21" s="1" t="s">
        <v>1</v>
      </c>
      <c r="C21" s="1" t="s">
        <v>0</v>
      </c>
    </row>
    <row r="22" spans="1:3">
      <c r="A22" s="3" t="e">
        <f>#REF!</f>
        <v>#REF!</v>
      </c>
      <c r="B22" s="1" t="s">
        <v>1</v>
      </c>
      <c r="C22" s="1" t="s">
        <v>0</v>
      </c>
    </row>
    <row r="23" spans="1:3">
      <c r="A23" s="3" t="e">
        <f>#REF!</f>
        <v>#REF!</v>
      </c>
      <c r="B23" s="1" t="s">
        <v>1</v>
      </c>
      <c r="C23" s="1" t="s">
        <v>0</v>
      </c>
    </row>
    <row r="24" spans="1:3">
      <c r="A24" s="6" t="e">
        <f>#REF!</f>
        <v>#REF!</v>
      </c>
      <c r="B24" s="7"/>
      <c r="C24" s="7"/>
    </row>
    <row r="25" spans="1:3">
      <c r="A25" s="3" t="e">
        <f>#REF!</f>
        <v>#REF!</v>
      </c>
      <c r="B25" s="1" t="s">
        <v>0</v>
      </c>
      <c r="C25" s="1" t="s">
        <v>0</v>
      </c>
    </row>
    <row r="26" spans="1:3">
      <c r="A26" s="3" t="e">
        <f>#REF!</f>
        <v>#REF!</v>
      </c>
      <c r="B26" s="1" t="s">
        <v>1</v>
      </c>
      <c r="C26" s="1" t="s">
        <v>0</v>
      </c>
    </row>
    <row r="27" spans="1:3">
      <c r="A27" s="3" t="e">
        <f>#REF!</f>
        <v>#REF!</v>
      </c>
      <c r="B27" s="1" t="s">
        <v>1</v>
      </c>
      <c r="C27" s="1" t="s">
        <v>0</v>
      </c>
    </row>
    <row r="28" spans="1:3">
      <c r="A28" s="3" t="e">
        <f>#REF!</f>
        <v>#REF!</v>
      </c>
      <c r="B28" s="1" t="s">
        <v>1</v>
      </c>
      <c r="C28" s="1" t="s">
        <v>0</v>
      </c>
    </row>
    <row r="29" spans="1:3">
      <c r="A29" s="3" t="e">
        <f>#REF!</f>
        <v>#REF!</v>
      </c>
      <c r="B29" s="1" t="s">
        <v>1</v>
      </c>
      <c r="C29" s="1" t="s">
        <v>0</v>
      </c>
    </row>
    <row r="30" spans="1:3">
      <c r="A30" s="3" t="e">
        <f>#REF!</f>
        <v>#REF!</v>
      </c>
      <c r="B30" s="1" t="s">
        <v>1</v>
      </c>
      <c r="C30" s="1" t="s">
        <v>0</v>
      </c>
    </row>
    <row r="31" spans="1:3">
      <c r="A31" s="3" t="e">
        <f>#REF!</f>
        <v>#REF!</v>
      </c>
      <c r="B31" s="1" t="s">
        <v>1</v>
      </c>
      <c r="C31" s="1" t="s">
        <v>0</v>
      </c>
    </row>
    <row r="32" spans="1:3">
      <c r="A32" s="6" t="e">
        <f>#REF!</f>
        <v>#REF!</v>
      </c>
      <c r="B32" s="7"/>
      <c r="C32" s="7"/>
    </row>
    <row r="33" spans="1:4">
      <c r="A33" s="3" t="e">
        <f>#REF!</f>
        <v>#REF!</v>
      </c>
      <c r="B33" s="1" t="s">
        <v>0</v>
      </c>
      <c r="C33" s="1" t="s">
        <v>0</v>
      </c>
    </row>
    <row r="34" spans="1:4">
      <c r="A34" s="3" t="e">
        <f>#REF!</f>
        <v>#REF!</v>
      </c>
      <c r="B34" s="1" t="s">
        <v>1</v>
      </c>
      <c r="C34" s="1" t="s">
        <v>0</v>
      </c>
    </row>
    <row r="35" spans="1:4">
      <c r="A35" s="3" t="e">
        <f>#REF!</f>
        <v>#REF!</v>
      </c>
      <c r="B35" s="1" t="s">
        <v>1</v>
      </c>
      <c r="C35" s="1" t="s">
        <v>0</v>
      </c>
    </row>
    <row r="36" spans="1:4">
      <c r="A36" s="3" t="e">
        <f>#REF!</f>
        <v>#REF!</v>
      </c>
      <c r="B36" s="1" t="s">
        <v>1</v>
      </c>
      <c r="C36" s="1" t="s">
        <v>0</v>
      </c>
    </row>
    <row r="37" spans="1:4">
      <c r="A37" s="3" t="e">
        <f>#REF!</f>
        <v>#REF!</v>
      </c>
      <c r="B37" s="1" t="s">
        <v>1</v>
      </c>
      <c r="C37" s="1" t="s">
        <v>0</v>
      </c>
    </row>
    <row r="38" spans="1:4">
      <c r="A38" s="6" t="e">
        <f>#REF!</f>
        <v>#REF!</v>
      </c>
      <c r="B38" s="7"/>
      <c r="C38" s="7"/>
    </row>
    <row r="39" spans="1:4">
      <c r="A39" s="3" t="e">
        <f>#REF!</f>
        <v>#REF!</v>
      </c>
      <c r="B39" s="1" t="s">
        <v>0</v>
      </c>
      <c r="C39" s="1" t="s">
        <v>0</v>
      </c>
    </row>
    <row r="40" spans="1:4">
      <c r="A40" s="3" t="e">
        <f>#REF!</f>
        <v>#REF!</v>
      </c>
      <c r="B40" s="1" t="s">
        <v>1</v>
      </c>
      <c r="C40" s="1" t="s">
        <v>0</v>
      </c>
    </row>
    <row r="41" spans="1:4">
      <c r="A41" s="3" t="e">
        <f>#REF!</f>
        <v>#REF!</v>
      </c>
      <c r="B41" s="1" t="s">
        <v>1</v>
      </c>
      <c r="C41" s="1" t="s">
        <v>0</v>
      </c>
    </row>
    <row r="42" spans="1:4">
      <c r="A42" s="3" t="e">
        <f>#REF!</f>
        <v>#REF!</v>
      </c>
      <c r="B42" s="1" t="s">
        <v>0</v>
      </c>
      <c r="C42" s="1" t="s">
        <v>0</v>
      </c>
    </row>
    <row r="43" spans="1:4">
      <c r="A43" s="3" t="e">
        <f>#REF!</f>
        <v>#REF!</v>
      </c>
      <c r="B43" s="1" t="s">
        <v>1</v>
      </c>
      <c r="C43" s="1" t="s">
        <v>0</v>
      </c>
    </row>
    <row r="44" spans="1:4" ht="17" thickBot="1">
      <c r="A44" s="2"/>
      <c r="B44" s="10"/>
      <c r="C44" s="10"/>
      <c r="D44" s="10"/>
    </row>
    <row r="45" spans="1:4" ht="31" thickBot="1">
      <c r="A45" s="12" t="s">
        <v>7</v>
      </c>
      <c r="B45" s="23"/>
      <c r="C45" s="24"/>
      <c r="D45" s="21"/>
    </row>
    <row r="46" spans="1:4" ht="165.5" customHeight="1" thickBot="1">
      <c r="A46" s="13" t="s">
        <v>3</v>
      </c>
      <c r="B46" s="14" t="s">
        <v>12</v>
      </c>
      <c r="C46" s="15" t="s">
        <v>8</v>
      </c>
      <c r="D46" s="11" t="s">
        <v>13</v>
      </c>
    </row>
    <row r="47" spans="1:4">
      <c r="A47" s="16" t="e">
        <f>#REF!</f>
        <v>#REF!</v>
      </c>
      <c r="B47" s="17">
        <v>1</v>
      </c>
      <c r="C47" s="18">
        <v>-30</v>
      </c>
      <c r="D47" s="20" t="s">
        <v>9</v>
      </c>
    </row>
    <row r="48" spans="1:4">
      <c r="A48" s="16" t="e">
        <f>#REF!</f>
        <v>#REF!</v>
      </c>
      <c r="B48" s="85">
        <v>3</v>
      </c>
      <c r="C48" s="86">
        <v>-15</v>
      </c>
      <c r="D48" s="87" t="s">
        <v>10</v>
      </c>
    </row>
    <row r="49" spans="1:4">
      <c r="A49" s="16" t="e">
        <f>#REF!</f>
        <v>#REF!</v>
      </c>
      <c r="B49" s="85"/>
      <c r="C49" s="86"/>
      <c r="D49" s="87"/>
    </row>
    <row r="50" spans="1:4">
      <c r="A50" s="16" t="e">
        <f>#REF!</f>
        <v>#REF!</v>
      </c>
      <c r="B50" s="17">
        <v>4</v>
      </c>
      <c r="C50" s="18">
        <v>-3.75</v>
      </c>
      <c r="D50" s="19" t="s">
        <v>11</v>
      </c>
    </row>
    <row r="51" spans="1:4">
      <c r="A51" s="16" t="e">
        <f>#REF!</f>
        <v>#REF!</v>
      </c>
      <c r="B51" s="17">
        <v>4</v>
      </c>
      <c r="C51" s="18">
        <v>-2.25</v>
      </c>
      <c r="D51" s="19" t="s">
        <v>11</v>
      </c>
    </row>
    <row r="52" spans="1:4">
      <c r="A52" s="4"/>
      <c r="B52" s="5"/>
      <c r="C52" s="5"/>
      <c r="D52" s="5"/>
    </row>
    <row r="55" spans="1:4">
      <c r="C55" s="22"/>
      <c r="D55" s="22"/>
    </row>
    <row r="56" spans="1:4">
      <c r="C56" s="22"/>
      <c r="D56" s="22"/>
    </row>
    <row r="57" spans="1:4">
      <c r="C57" s="22"/>
      <c r="D57" s="22"/>
    </row>
    <row r="58" spans="1:4">
      <c r="C58" s="22"/>
      <c r="D58" s="22"/>
    </row>
  </sheetData>
  <sheetProtection password="C8B5" sheet="1" objects="1" scenarios="1"/>
  <mergeCells count="5">
    <mergeCell ref="B48:B49"/>
    <mergeCell ref="C48:C49"/>
    <mergeCell ref="D48:D49"/>
    <mergeCell ref="A1:D1"/>
    <mergeCell ref="A2:D2"/>
  </mergeCells>
  <phoneticPr fontId="0" type="noConversion"/>
  <pageMargins left="0.75" right="0.75" top="1" bottom="1" header="0.5" footer="0.5"/>
  <pageSetup orientation="portrait" horizontalDpi="0" verticalDpi="0"/>
  <headerFooter alignWithMargins="0"/>
  <drawing r:id="rId1"/>
  <legacyDrawing r:id="rId2"/>
  <oleObjects>
    <mc:AlternateContent xmlns:mc="http://schemas.openxmlformats.org/markup-compatibility/2006">
      <mc:Choice Requires="x14">
        <oleObject progId="PBrush" shapeId="26625" r:id="rId3">
          <objectPr defaultSize="0" autoPict="0" r:id="rId4">
            <anchor moveWithCells="1" sizeWithCells="1">
              <from>
                <xdr:col>0</xdr:col>
                <xdr:colOff>10985500</xdr:colOff>
                <xdr:row>0</xdr:row>
                <xdr:rowOff>25400</xdr:rowOff>
              </from>
              <to>
                <xdr:col>0</xdr:col>
                <xdr:colOff>787400</xdr:colOff>
                <xdr:row>0</xdr:row>
                <xdr:rowOff>406400</xdr:rowOff>
              </to>
            </anchor>
          </objectPr>
        </oleObject>
      </mc:Choice>
      <mc:Fallback>
        <oleObject progId="PBrush" shapeId="26625" r:id="rId3"/>
      </mc:Fallback>
    </mc:AlternateContent>
    <mc:AlternateContent xmlns:mc="http://schemas.openxmlformats.org/markup-compatibility/2006">
      <mc:Choice Requires="x14">
        <oleObject progId="PBrush" shapeId="26627" r:id="rId5">
          <objectPr defaultSize="0" autoPict="0" r:id="rId4">
            <anchor moveWithCells="1" sizeWithCells="1">
              <from>
                <xdr:col>4</xdr:col>
                <xdr:colOff>0</xdr:colOff>
                <xdr:row>0</xdr:row>
                <xdr:rowOff>88900</xdr:rowOff>
              </from>
              <to>
                <xdr:col>4</xdr:col>
                <xdr:colOff>0</xdr:colOff>
                <xdr:row>0</xdr:row>
                <xdr:rowOff>469900</xdr:rowOff>
              </to>
            </anchor>
          </objectPr>
        </oleObject>
      </mc:Choice>
      <mc:Fallback>
        <oleObject progId="PBrush" shapeId="26627" r:id="rId5"/>
      </mc:Fallback>
    </mc:AlternateContent>
    <mc:AlternateContent xmlns:mc="http://schemas.openxmlformats.org/markup-compatibility/2006">
      <mc:Choice Requires="x14">
        <oleObject progId="PBrush" shapeId="26628" r:id="rId6">
          <objectPr defaultSize="0" autoPict="0" r:id="rId4">
            <anchor moveWithCells="1" sizeWithCells="1">
              <from>
                <xdr:col>0</xdr:col>
                <xdr:colOff>10985500</xdr:colOff>
                <xdr:row>0</xdr:row>
                <xdr:rowOff>25400</xdr:rowOff>
              </from>
              <to>
                <xdr:col>0</xdr:col>
                <xdr:colOff>787400</xdr:colOff>
                <xdr:row>0</xdr:row>
                <xdr:rowOff>406400</xdr:rowOff>
              </to>
            </anchor>
          </objectPr>
        </oleObject>
      </mc:Choice>
      <mc:Fallback>
        <oleObject progId="PBrush" shapeId="26628" r:id="rId6"/>
      </mc:Fallback>
    </mc:AlternateContent>
    <mc:AlternateContent xmlns:mc="http://schemas.openxmlformats.org/markup-compatibility/2006">
      <mc:Choice Requires="x14">
        <oleObject progId="PBrush" shapeId="26629" r:id="rId7">
          <objectPr defaultSize="0" autoPict="0" r:id="rId4">
            <anchor moveWithCells="1" sizeWithCells="1">
              <from>
                <xdr:col>2</xdr:col>
                <xdr:colOff>228600</xdr:colOff>
                <xdr:row>0</xdr:row>
                <xdr:rowOff>88900</xdr:rowOff>
              </from>
              <to>
                <xdr:col>2</xdr:col>
                <xdr:colOff>1104900</xdr:colOff>
                <xdr:row>0</xdr:row>
                <xdr:rowOff>469900</xdr:rowOff>
              </to>
            </anchor>
          </objectPr>
        </oleObject>
      </mc:Choice>
      <mc:Fallback>
        <oleObject progId="PBrush" shapeId="26629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Interface Execution</vt:lpstr>
      <vt:lpstr>Functional</vt:lpstr>
      <vt:lpstr>Compatibility</vt:lpstr>
      <vt:lpstr>Database</vt:lpstr>
      <vt:lpstr>Usability</vt:lpstr>
      <vt:lpstr>Performance</vt:lpstr>
      <vt:lpstr>Doc Control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TRR Workbook</dc:title>
  <dc:subject>Test Readiness Review Workbook</dc:subject>
  <dc:creator>Dr. Juan Pablo Giraldo</dc:creator>
  <dc:description/>
  <cp:lastModifiedBy>Đỗ Nguyễn Nhật Trường</cp:lastModifiedBy>
  <cp:lastPrinted>2005-06-16T19:14:07Z</cp:lastPrinted>
  <dcterms:created xsi:type="dcterms:W3CDTF">2004-02-11T17:47:34Z</dcterms:created>
  <dcterms:modified xsi:type="dcterms:W3CDTF">2025-12-18T18:07:23Z</dcterms:modified>
</cp:coreProperties>
</file>