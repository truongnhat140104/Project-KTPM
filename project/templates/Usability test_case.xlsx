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checkCompatibility="1"/>
  <mc:AlternateContent xmlns:mc="http://schemas.openxmlformats.org/markup-compatibility/2006">
    <mc:Choice Requires="x15">
      <x15ac:absPath xmlns:x15ac="http://schemas.microsoft.com/office/spreadsheetml/2010/11/ac" url="/Users/Shared/Project-KTPM/project/templates/HIệu chỉnh /"/>
    </mc:Choice>
  </mc:AlternateContent>
  <xr:revisionPtr revIDLastSave="0" documentId="13_ncr:1_{400D3D3D-B6EA-6040-8D73-2BFD186F0288}" xr6:coauthVersionLast="47" xr6:coauthVersionMax="47" xr10:uidLastSave="{00000000-0000-0000-0000-000000000000}"/>
  <bookViews>
    <workbookView xWindow="0" yWindow="500" windowWidth="28800" windowHeight="16180" tabRatio="821" activeTab="6" xr2:uid="{54D1C333-A8F3-504F-8D67-28F9DF72E520}"/>
  </bookViews>
  <sheets>
    <sheet name="Cover" sheetId="1" r:id="rId1"/>
    <sheet name="Test case List" sheetId="2" r:id="rId2"/>
    <sheet name="TestDataModule1" sheetId="8" r:id="rId3"/>
    <sheet name="Module1" sheetId="3" r:id="rId4"/>
    <sheet name="Module2" sheetId="4" r:id="rId5"/>
    <sheet name="Module3" sheetId="7" r:id="rId6"/>
    <sheet name="Module4" sheetId="9" r:id="rId7"/>
    <sheet name="Test Report" sheetId="5" r:id="rId8"/>
  </sheets>
  <definedNames>
    <definedName name="_xlnm._FilterDatabase" localSheetId="3" hidden="1">Module1!$A$8:$H$15</definedName>
    <definedName name="_xlnm._FilterDatabase" localSheetId="4" hidden="1">Module2!$A$8:$H$15</definedName>
    <definedName name="_xlnm._FilterDatabase" localSheetId="5" hidden="1">Module3!$A$8:$H$16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5" l="1"/>
  <c r="D11" i="5"/>
  <c r="E11" i="5"/>
  <c r="F11" i="5"/>
  <c r="G11" i="5"/>
  <c r="H11" i="5"/>
  <c r="H15" i="5" s="1"/>
  <c r="C12" i="5"/>
  <c r="D12" i="5"/>
  <c r="E12" i="5"/>
  <c r="F12" i="5"/>
  <c r="G12" i="5"/>
  <c r="H12" i="5"/>
  <c r="C6" i="1" l="1"/>
  <c r="D3" i="2"/>
  <c r="D4" i="2"/>
  <c r="C5" i="5"/>
  <c r="E15" i="5" l="1"/>
  <c r="D15" i="5"/>
  <c r="G15" i="5"/>
  <c r="E17" i="5" l="1"/>
  <c r="F15" i="5"/>
  <c r="E1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A2EFF0CB-5607-B541-A684-9B925F100C1E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C207F8D6-3BB3-F842-825C-656ED68ADD93}">
      <text>
        <r>
          <rPr>
            <b/>
            <sz val="8"/>
            <color rgb="FF000000"/>
            <rFont val="Times New Roman"/>
            <family val="1"/>
          </rPr>
          <t xml:space="preserve">Pass
</t>
        </r>
        <r>
          <rPr>
            <b/>
            <sz val="8"/>
            <color rgb="FF000000"/>
            <rFont val="Times New Roman"/>
            <family val="1"/>
          </rPr>
          <t xml:space="preserve">Fail
</t>
        </r>
        <r>
          <rPr>
            <b/>
            <sz val="8"/>
            <color rgb="FF000000"/>
            <rFont val="Times New Roman"/>
            <family val="1"/>
          </rPr>
          <t xml:space="preserve">Untested
</t>
        </r>
        <r>
          <rPr>
            <b/>
            <sz val="8"/>
            <color rgb="FF000000"/>
            <rFont val="Times New Roman"/>
            <family val="1"/>
          </rPr>
          <t xml:space="preserve">N/A
</t>
        </r>
        <r>
          <rPr>
            <b/>
            <sz val="8"/>
            <color rgb="FF000000"/>
            <rFont val="Times New Roman"/>
            <family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BBA6CB0E-92E0-1A48-B33E-C65C78314FE2}">
      <text>
        <r>
          <rPr>
            <b/>
            <sz val="8"/>
            <color rgb="FF000000"/>
            <rFont val="Times New Roman"/>
            <family val="1"/>
          </rPr>
          <t xml:space="preserve">Pass
</t>
        </r>
        <r>
          <rPr>
            <b/>
            <sz val="8"/>
            <color rgb="FF000000"/>
            <rFont val="Times New Roman"/>
            <family val="1"/>
          </rPr>
          <t xml:space="preserve">Fail
</t>
        </r>
        <r>
          <rPr>
            <b/>
            <sz val="8"/>
            <color rgb="FF000000"/>
            <rFont val="Times New Roman"/>
            <family val="1"/>
          </rPr>
          <t xml:space="preserve">Untested
</t>
        </r>
        <r>
          <rPr>
            <b/>
            <sz val="8"/>
            <color rgb="FF000000"/>
            <rFont val="Times New Roman"/>
            <family val="1"/>
          </rPr>
          <t xml:space="preserve">N/A
</t>
        </r>
        <r>
          <rPr>
            <b/>
            <sz val="8"/>
            <color rgb="FF000000"/>
            <rFont val="Times New Roman"/>
            <family val="1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9" authorId="0" shapeId="0" xr:uid="{2C2E3129-D98A-E04B-8878-3D7B6FBD505F}">
      <text>
        <r>
          <rPr>
            <b/>
            <sz val="8"/>
            <color rgb="FF000000"/>
            <rFont val="Times New Roman"/>
            <family val="1"/>
          </rPr>
          <t xml:space="preserve">Pass
</t>
        </r>
        <r>
          <rPr>
            <b/>
            <sz val="8"/>
            <color rgb="FF000000"/>
            <rFont val="Times New Roman"/>
            <family val="1"/>
          </rPr>
          <t xml:space="preserve">Fail
</t>
        </r>
        <r>
          <rPr>
            <b/>
            <sz val="8"/>
            <color rgb="FF000000"/>
            <rFont val="Times New Roman"/>
            <family val="1"/>
          </rPr>
          <t xml:space="preserve">Untested
</t>
        </r>
        <r>
          <rPr>
            <b/>
            <sz val="8"/>
            <color rgb="FF000000"/>
            <rFont val="Times New Roman"/>
            <family val="1"/>
          </rPr>
          <t xml:space="preserve">N/A
</t>
        </r>
        <r>
          <rPr>
            <b/>
            <sz val="8"/>
            <color rgb="FF000000"/>
            <rFont val="Times New Roman"/>
            <family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<sst xmlns="http://schemas.openxmlformats.org/spreadsheetml/2006/main" count="215" uniqueCount="156">
  <si>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</si>
  <si>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</si>
  <si>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</si>
  <si>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</si>
  <si>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</si>
  <si>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</si>
  <si>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</si>
  <si>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</si>
  <si>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</si>
  <si>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</si>
  <si>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</si>
  <si>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</si>
  <si>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</si>
  <si>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</si>
  <si>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</si>
  <si>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</si>
  <si>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</si>
  <si>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</si>
  <si>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</si>
  <si>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&lt;List enviroment requires in this system
1. Server
2. Database
3. Web Browser
...
&gt;</t>
  </si>
  <si>
    <t>No</t>
  </si>
  <si>
    <t>Sheet Name</t>
  </si>
  <si>
    <t>Description</t>
  </si>
  <si>
    <t>Pre-Condition</t>
  </si>
  <si>
    <t>Module1</t>
  </si>
  <si>
    <t>Module2</t>
  </si>
  <si>
    <t>Pass</t>
  </si>
  <si>
    <t>Fail</t>
  </si>
  <si>
    <t>Untested</t>
  </si>
  <si>
    <t>N/A</t>
  </si>
  <si>
    <t>Untesed</t>
  </si>
  <si>
    <t>ID</t>
  </si>
  <si>
    <t>Result</t>
  </si>
  <si>
    <t>Test date</t>
  </si>
  <si>
    <t>Note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</si>
  <si>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</si>
  <si>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</si>
  <si>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</si>
  <si>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</si>
  <si>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</si>
  <si>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</si>
  <si>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</si>
  <si>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</si>
  <si>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</si>
  <si>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</si>
  <si>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</si>
  <si>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Test data</t>
    <phoneticPr fontId="0" type="noConversion"/>
  </si>
  <si>
    <t>Description</t>
    <phoneticPr fontId="0" type="noConversion"/>
  </si>
  <si>
    <t>Login</t>
  </si>
  <si>
    <t>Module3</t>
  </si>
  <si>
    <t>TestData01</t>
  </si>
  <si>
    <t>TestData02</t>
  </si>
  <si>
    <t>Invalid credentials</t>
  </si>
  <si>
    <t>Test Data ID</t>
  </si>
  <si>
    <t>Username</t>
  </si>
  <si>
    <t>Password</t>
  </si>
  <si>
    <t>Role</t>
  </si>
  <si>
    <t>Email</t>
  </si>
  <si>
    <t>Account Status</t>
  </si>
  <si>
    <t>customer01</t>
  </si>
  <si>
    <t>cust@123</t>
  </si>
  <si>
    <t>Customer</t>
  </si>
  <si>
    <t>customer01@mail.com</t>
  </si>
  <si>
    <t>Active</t>
  </si>
  <si>
    <t>Valid customer account</t>
  </si>
  <si>
    <t>admin01</t>
  </si>
  <si>
    <t>admin@123</t>
  </si>
  <si>
    <t>Admin</t>
  </si>
  <si>
    <t>admin01@mail.com</t>
  </si>
  <si>
    <t>Valid admin account</t>
  </si>
  <si>
    <t>customer02</t>
  </si>
  <si>
    <t>wrongpass</t>
  </si>
  <si>
    <t>customer02@mail.com</t>
  </si>
  <si>
    <t>Invalid password</t>
  </si>
  <si>
    <t>invalidUser</t>
  </si>
  <si>
    <t>TestData03</t>
  </si>
  <si>
    <t>TestData04</t>
  </si>
  <si>
    <t>TestData05</t>
  </si>
  <si>
    <t>TestData06</t>
  </si>
  <si>
    <t>TestData07</t>
  </si>
  <si>
    <t>TestData08</t>
  </si>
  <si>
    <t>TestData09</t>
  </si>
  <si>
    <t>TestData10</t>
  </si>
  <si>
    <t>TestData11</t>
  </si>
  <si>
    <t>User Authentication</t>
  </si>
  <si>
    <t>Application Feature</t>
  </si>
  <si>
    <t>Sign Up</t>
  </si>
  <si>
    <t>Verify user can successfully create a new account</t>
  </si>
  <si>
    <t>Test Scenario</t>
  </si>
  <si>
    <t>Test Steps</t>
  </si>
  <si>
    <t>Expected Result</t>
  </si>
  <si>
    <t>Verify error handling for existing email</t>
  </si>
  <si>
    <t>1. Open "Sign In" popup.
2. Switch to Sign Up mode.
3. Enter an email that is already registered.
4. Enter valid name and password.
5. Click "Create account".</t>
  </si>
  <si>
    <t>Verify error handling for invalid credentials</t>
  </si>
  <si>
    <t>TC-03</t>
  </si>
  <si>
    <t>TC-04</t>
  </si>
  <si>
    <t xml:space="preserve"> Menu Exploration And Selection</t>
  </si>
  <si>
    <t>Cart Management</t>
  </si>
  <si>
    <t>Checkout And Order Placement</t>
  </si>
  <si>
    <t>TC-05</t>
  </si>
  <si>
    <t>Explore Menu</t>
  </si>
  <si>
    <t>Verify category filtering works</t>
  </si>
  <si>
    <t>TC-06</t>
  </si>
  <si>
    <t>Verify deselecting a category</t>
  </si>
  <si>
    <t>TC-07</t>
  </si>
  <si>
    <t>Add to Cart</t>
  </si>
  <si>
    <t>Verify adding item to cart from menu</t>
  </si>
  <si>
    <t>TC-08</t>
  </si>
  <si>
    <t>Quantity Adjust</t>
  </si>
  <si>
    <t>TC-09</t>
  </si>
  <si>
    <t>TC-12</t>
  </si>
  <si>
    <t>View Cart</t>
  </si>
  <si>
    <t>Proceed</t>
  </si>
  <si>
    <t>Verify cart page content</t>
  </si>
  <si>
    <t>Verify navigation to checkout</t>
  </si>
  <si>
    <t>Module4</t>
  </si>
  <si>
    <t>TC-13</t>
  </si>
  <si>
    <t>Delivery Info</t>
  </si>
  <si>
    <t>Place Order</t>
  </si>
  <si>
    <t>My Orders</t>
  </si>
  <si>
    <t>Verify order history visibility</t>
  </si>
  <si>
    <t>Testcase Name</t>
  </si>
  <si>
    <t>TC-01</t>
  </si>
  <si>
    <t>1. Open the website.
2. Click the Sign In button.
3. Select Create a new account.
4. Enter valid name, email, password.
5. Click Create account.</t>
  </si>
  <si>
    <t>User is registered and redirected to homepage without errors.</t>
  </si>
  <si>
    <t>TC-02</t>
  </si>
  <si>
    <t>1. Open Sign In popup.
2. Switch to Sign Up.
3. Enter existing email.
4. Enter valid name and password.
5. Click Create account.</t>
  </si>
  <si>
    <t>Clear error message Email already exists is displayed.</t>
  </si>
  <si>
    <t>Verify user can log in with valid credentials</t>
  </si>
  <si>
    <t>1. Click Sign In.
2. Enter valid email and password.
3. Click Login.</t>
  </si>
  <si>
    <t>User logs in successfully and profile icon replaces Sign In.</t>
  </si>
  <si>
    <t>1. Click Sign In.
2. Enter invalid email or password.
3. Click Login.</t>
  </si>
  <si>
    <t>Invalid credentials message is shown and user remains on login screen.</t>
  </si>
  <si>
    <t>1. Scroll to Explore Menu.
2. Click a category (e.g. Salad).
3. Observe results.</t>
  </si>
  <si>
    <t>Only items in selected category are displayed.</t>
  </si>
  <si>
    <t>1. Click selected category again or choose All.</t>
  </si>
  <si>
    <t>All menu items are displayed.</t>
  </si>
  <si>
    <t>1. Locate a food item.
2. Click + button.</t>
  </si>
  <si>
    <t>Item added, quantity counter shows 1 and cart icon updates.</t>
  </si>
  <si>
    <t>Verify adjusting item quantity</t>
  </si>
  <si>
    <t>1. Add item to cart.
2. Click + to increase.
3. Click - to decrease.</t>
  </si>
  <si>
    <t>Quantity updates immediately.</t>
  </si>
  <si>
    <t>1. Add items to cart.
2. Click cart icon.</t>
  </si>
  <si>
    <t>Cart shows correct items, quantities, prices, and total.</t>
  </si>
  <si>
    <t>1. Click Proceed to Checkout.</t>
  </si>
  <si>
    <t>User navigates to Place Order page.</t>
  </si>
  <si>
    <t>Verify mandatory field validation</t>
  </si>
  <si>
    <t>1. Leave a required field empty.
2. Attempt to proceed.</t>
  </si>
  <si>
    <t>System highlights missing field and blocks submission.</t>
  </si>
  <si>
    <t>Verify successful order placement</t>
  </si>
  <si>
    <t>1. Fill all delivery fields.
2. Click Proceed to Payment.</t>
  </si>
  <si>
    <t>Order placed and confirmation page displayed.</t>
  </si>
  <si>
    <t>1. Go to My Orders after ordering.</t>
  </si>
  <si>
    <t>New order appears with correct status.</t>
  </si>
  <si>
    <t>TC-10</t>
  </si>
  <si>
    <t>TC-11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</si>
</sst>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mm\-yy;@"/>
  </numFmts>
  <fonts count="35"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10"/>
      <name val="Tahoma"/>
      <family val="2"/>
    </font>
    <font>
      <sz val="10"/>
      <color indexed="8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family val="3"/>
      <charset val="128"/>
    </font>
    <font>
      <b/>
      <sz val="16"/>
      <name val="Times New Roman"/>
      <family val="1"/>
    </font>
    <font>
      <sz val="16"/>
      <name val="Times New Roman"/>
      <family val="1"/>
    </font>
    <font>
      <sz val="8"/>
      <name val="ＭＳ Ｐゴシック"/>
      <family val="3"/>
      <charset val="128"/>
    </font>
    <font>
      <b/>
      <sz val="8"/>
      <color rgb="FF000000"/>
      <name val="Times New Roman"/>
      <family val="1"/>
    </font>
    <font>
      <sz val="12"/>
      <name val="Times New Roman"/>
      <family val="1"/>
    </font>
    <font>
      <sz val="12"/>
      <color indexed="8"/>
      <name val="Times New Roman"/>
      <family val="1"/>
    </font>
    <font>
      <b/>
      <sz val="12"/>
      <name val="Times New Roman"/>
      <family val="1"/>
    </font>
    <font>
      <b/>
      <sz val="12"/>
      <color indexed="9"/>
      <name val="Times New Roman"/>
      <family val="1"/>
    </font>
    <font>
      <sz val="12"/>
      <color indexed="10"/>
      <name val="Times New Roman"/>
      <family val="1"/>
    </font>
    <font>
      <i/>
      <sz val="12"/>
      <color indexed="17"/>
      <name val="Times New Roman"/>
      <family val="1"/>
    </font>
    <font>
      <b/>
      <sz val="12"/>
      <color indexed="8"/>
      <name val="Times New Roman"/>
      <family val="1"/>
    </font>
    <font>
      <b/>
      <sz val="12"/>
      <color indexed="10"/>
      <name val="Times New Roman"/>
      <family val="1"/>
    </font>
    <font>
      <sz val="12"/>
      <color rgb="FFCCCCCC"/>
      <name val="Times New Roman"/>
      <family val="1"/>
    </font>
    <font>
      <b/>
      <sz val="12"/>
      <color rgb="FFCCCCCC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1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5">
    <xf numFmtId="0" fontId="0" fillId="0" borderId="0"/>
    <xf numFmtId="0" fontId="15" fillId="0" borderId="0" applyNumberFormat="0" applyFill="0" applyBorder="0" applyAlignment="0" applyProtection="0"/>
    <xf numFmtId="0" fontId="20" fillId="0" borderId="0"/>
    <xf numFmtId="0" fontId="20" fillId="0" borderId="0"/>
    <xf numFmtId="0" fontId="1" fillId="0" borderId="0"/>
  </cellStyleXfs>
  <cellXfs count="2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indent="1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0" xfId="0" applyFont="1" applyFill="1" applyAlignment="1">
      <alignment horizontal="left" indent="1"/>
    </xf>
    <xf numFmtId="0" fontId="7" fillId="0" borderId="0" xfId="0" applyFont="1" applyAlignment="1">
      <alignment horizontal="left" indent="1"/>
    </xf>
    <xf numFmtId="0" fontId="2" fillId="2" borderId="0" xfId="0" applyFont="1" applyFill="1"/>
    <xf numFmtId="0" fontId="6" fillId="2" borderId="2" xfId="0" applyFont="1" applyFill="1" applyBorder="1" applyAlignment="1">
      <alignment horizontal="left"/>
    </xf>
    <xf numFmtId="0" fontId="2" fillId="0" borderId="3" xfId="0" applyFont="1" applyBorder="1"/>
    <xf numFmtId="0" fontId="6" fillId="2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left" indent="1"/>
    </xf>
    <xf numFmtId="0" fontId="6" fillId="2" borderId="0" xfId="0" applyFont="1" applyFill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7" fillId="0" borderId="7" xfId="0" applyFont="1" applyBorder="1" applyAlignment="1">
      <alignment vertical="top" wrapText="1"/>
    </xf>
    <xf numFmtId="49" fontId="2" fillId="0" borderId="8" xfId="0" applyNumberFormat="1" applyFont="1" applyBorder="1" applyAlignment="1">
      <alignment vertical="top"/>
    </xf>
    <xf numFmtId="0" fontId="2" fillId="0" borderId="8" xfId="0" applyFont="1" applyBorder="1" applyAlignment="1">
      <alignment vertical="top"/>
    </xf>
    <xf numFmtId="15" fontId="2" fillId="0" borderId="8" xfId="0" applyNumberFormat="1" applyFont="1" applyBorder="1" applyAlignment="1">
      <alignment vertical="top"/>
    </xf>
    <xf numFmtId="0" fontId="7" fillId="0" borderId="9" xfId="0" applyFont="1" applyBorder="1" applyAlignment="1">
      <alignment vertical="top" wrapText="1"/>
    </xf>
    <xf numFmtId="164" fontId="2" fillId="0" borderId="7" xfId="0" applyNumberFormat="1" applyFont="1" applyBorder="1" applyAlignment="1">
      <alignment vertical="top"/>
    </xf>
    <xf numFmtId="0" fontId="2" fillId="0" borderId="9" xfId="0" applyFont="1" applyBorder="1" applyAlignment="1">
      <alignment vertical="top"/>
    </xf>
    <xf numFmtId="164" fontId="2" fillId="0" borderId="10" xfId="0" applyNumberFormat="1" applyFont="1" applyBorder="1" applyAlignment="1">
      <alignment vertical="top"/>
    </xf>
    <xf numFmtId="49" fontId="2" fillId="0" borderId="11" xfId="0" applyNumberFormat="1" applyFont="1" applyBorder="1" applyAlignment="1">
      <alignment vertical="top"/>
    </xf>
    <xf numFmtId="0" fontId="2" fillId="0" borderId="11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1" fontId="2" fillId="2" borderId="0" xfId="0" applyNumberFormat="1" applyFont="1" applyFill="1"/>
    <xf numFmtId="0" fontId="2" fillId="2" borderId="0" xfId="0" applyFont="1" applyFill="1" applyAlignment="1">
      <alignment horizontal="left"/>
    </xf>
    <xf numFmtId="1" fontId="2" fillId="2" borderId="0" xfId="0" applyNumberFormat="1" applyFont="1" applyFill="1" applyProtection="1">
      <protection hidden="1"/>
    </xf>
    <xf numFmtId="0" fontId="5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" fontId="6" fillId="2" borderId="0" xfId="0" applyNumberFormat="1" applyFont="1" applyFill="1"/>
    <xf numFmtId="0" fontId="2" fillId="2" borderId="0" xfId="0" applyFont="1" applyFill="1" applyAlignment="1">
      <alignment vertical="center"/>
    </xf>
    <xf numFmtId="1" fontId="2" fillId="2" borderId="0" xfId="0" applyNumberFormat="1" applyFont="1" applyFill="1" applyAlignment="1" applyProtection="1">
      <alignment vertical="center"/>
      <protection hidden="1"/>
    </xf>
    <xf numFmtId="0" fontId="2" fillId="2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/>
    </xf>
    <xf numFmtId="1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vertical="center"/>
    </xf>
    <xf numFmtId="49" fontId="2" fillId="2" borderId="8" xfId="0" applyNumberFormat="1" applyFont="1" applyFill="1" applyBorder="1" applyAlignment="1">
      <alignment horizontal="left" vertical="center"/>
    </xf>
    <xf numFmtId="0" fontId="14" fillId="2" borderId="8" xfId="1" applyNumberFormat="1" applyFont="1" applyFill="1" applyBorder="1" applyAlignment="1" applyProtection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1" fontId="2" fillId="2" borderId="10" xfId="0" applyNumberFormat="1" applyFont="1" applyFill="1" applyBorder="1" applyAlignment="1">
      <alignment vertical="center"/>
    </xf>
    <xf numFmtId="49" fontId="2" fillId="2" borderId="11" xfId="0" applyNumberFormat="1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/>
    </xf>
    <xf numFmtId="0" fontId="16" fillId="2" borderId="0" xfId="0" applyFont="1" applyFill="1"/>
    <xf numFmtId="0" fontId="13" fillId="2" borderId="0" xfId="0" applyFont="1" applyFill="1" applyAlignment="1">
      <alignment wrapText="1"/>
    </xf>
    <xf numFmtId="0" fontId="16" fillId="2" borderId="0" xfId="0" applyFont="1" applyFill="1" applyAlignment="1">
      <alignment wrapText="1"/>
    </xf>
    <xf numFmtId="0" fontId="17" fillId="2" borderId="0" xfId="0" applyFont="1" applyFill="1"/>
    <xf numFmtId="0" fontId="11" fillId="2" borderId="0" xfId="0" applyFont="1" applyFill="1"/>
    <xf numFmtId="0" fontId="2" fillId="2" borderId="0" xfId="0" applyFont="1" applyFill="1" applyAlignment="1">
      <alignment horizontal="center" wrapText="1"/>
    </xf>
    <xf numFmtId="0" fontId="16" fillId="2" borderId="0" xfId="0" applyFont="1" applyFill="1" applyAlignment="1">
      <alignment horizontal="center" wrapText="1"/>
    </xf>
    <xf numFmtId="0" fontId="17" fillId="2" borderId="0" xfId="0" applyFont="1" applyFill="1" applyAlignment="1">
      <alignment horizontal="center" wrapText="1"/>
    </xf>
    <xf numFmtId="0" fontId="8" fillId="3" borderId="2" xfId="3" applyFont="1" applyFill="1" applyBorder="1" applyAlignment="1">
      <alignment horizontal="center" vertical="center" wrapText="1"/>
    </xf>
    <xf numFmtId="0" fontId="8" fillId="3" borderId="20" xfId="3" applyFont="1" applyFill="1" applyBorder="1" applyAlignment="1">
      <alignment horizontal="center" vertical="center" wrapText="1"/>
    </xf>
    <xf numFmtId="0" fontId="12" fillId="2" borderId="0" xfId="3" applyFont="1" applyFill="1" applyAlignment="1">
      <alignment horizontal="center" vertical="center" wrapText="1"/>
    </xf>
    <xf numFmtId="0" fontId="12" fillId="2" borderId="0" xfId="3" applyFont="1" applyFill="1" applyAlignment="1">
      <alignment horizontal="left" vertical="center"/>
    </xf>
    <xf numFmtId="0" fontId="16" fillId="2" borderId="0" xfId="0" applyFont="1" applyFill="1" applyAlignment="1">
      <alignment vertical="top" wrapText="1"/>
    </xf>
    <xf numFmtId="0" fontId="17" fillId="2" borderId="0" xfId="0" applyFont="1" applyFill="1" applyAlignment="1">
      <alignment vertical="top"/>
    </xf>
    <xf numFmtId="0" fontId="13" fillId="2" borderId="0" xfId="2" applyFont="1" applyFill="1"/>
    <xf numFmtId="0" fontId="2" fillId="2" borderId="0" xfId="2" applyFont="1" applyFill="1"/>
    <xf numFmtId="164" fontId="2" fillId="2" borderId="0" xfId="2" applyNumberFormat="1" applyFont="1" applyFill="1"/>
    <xf numFmtId="0" fontId="6" fillId="2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vertical="top"/>
    </xf>
    <xf numFmtId="0" fontId="6" fillId="2" borderId="2" xfId="0" applyFont="1" applyFill="1" applyBorder="1" applyAlignment="1">
      <alignment vertical="center"/>
    </xf>
    <xf numFmtId="0" fontId="7" fillId="2" borderId="3" xfId="0" applyFont="1" applyFill="1" applyBorder="1" applyAlignment="1">
      <alignment vertical="top"/>
    </xf>
    <xf numFmtId="0" fontId="7" fillId="2" borderId="0" xfId="2" applyFont="1" applyFill="1"/>
    <xf numFmtId="0" fontId="2" fillId="2" borderId="24" xfId="0" applyFont="1" applyFill="1" applyBorder="1"/>
    <xf numFmtId="0" fontId="8" fillId="3" borderId="2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 wrapText="1"/>
    </xf>
    <xf numFmtId="0" fontId="8" fillId="3" borderId="13" xfId="0" applyFont="1" applyFill="1" applyBorder="1" applyAlignment="1">
      <alignment horizontal="center"/>
    </xf>
    <xf numFmtId="0" fontId="8" fillId="3" borderId="26" xfId="0" applyFont="1" applyFill="1" applyBorder="1" applyAlignment="1">
      <alignment horizontal="center" wrapText="1"/>
    </xf>
    <xf numFmtId="0" fontId="2" fillId="2" borderId="27" xfId="0" applyFont="1" applyFill="1" applyBorder="1" applyAlignment="1">
      <alignment horizontal="center"/>
    </xf>
    <xf numFmtId="0" fontId="2" fillId="2" borderId="8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18" fillId="3" borderId="30" xfId="0" applyFont="1" applyFill="1" applyBorder="1" applyAlignment="1">
      <alignment horizontal="center"/>
    </xf>
    <xf numFmtId="0" fontId="8" fillId="3" borderId="11" xfId="0" applyFont="1" applyFill="1" applyBorder="1"/>
    <xf numFmtId="0" fontId="18" fillId="3" borderId="11" xfId="0" applyFont="1" applyFill="1" applyBorder="1" applyAlignment="1">
      <alignment horizontal="center"/>
    </xf>
    <xf numFmtId="0" fontId="18" fillId="3" borderId="3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9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2" fontId="19" fillId="2" borderId="0" xfId="0" applyNumberFormat="1" applyFont="1" applyFill="1" applyAlignment="1">
      <alignment horizontal="right" wrapText="1"/>
    </xf>
    <xf numFmtId="0" fontId="15" fillId="2" borderId="8" xfId="1" applyNumberFormat="1" applyFill="1" applyBorder="1" applyAlignment="1" applyProtection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2" borderId="8" xfId="1" applyNumberFormat="1" applyFill="1" applyBorder="1" applyAlignment="1" applyProtection="1">
      <alignment horizontal="left" vertical="center"/>
    </xf>
    <xf numFmtId="0" fontId="21" fillId="6" borderId="35" xfId="0" applyFont="1" applyFill="1" applyBorder="1"/>
    <xf numFmtId="0" fontId="22" fillId="0" borderId="35" xfId="0" applyFont="1" applyBorder="1"/>
    <xf numFmtId="0" fontId="28" fillId="3" borderId="35" xfId="3" applyFont="1" applyFill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/>
    </xf>
    <xf numFmtId="0" fontId="25" fillId="2" borderId="35" xfId="0" applyFont="1" applyFill="1" applyBorder="1" applyAlignment="1">
      <alignment horizontal="center" vertical="center" wrapText="1"/>
    </xf>
    <xf numFmtId="0" fontId="25" fillId="2" borderId="35" xfId="3" applyFont="1" applyFill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 wrapText="1"/>
    </xf>
    <xf numFmtId="0" fontId="17" fillId="2" borderId="0" xfId="0" applyFont="1" applyFill="1" applyAlignment="1">
      <alignment wrapText="1"/>
    </xf>
    <xf numFmtId="0" fontId="13" fillId="7" borderId="35" xfId="3" applyFont="1" applyFill="1" applyBorder="1" applyAlignment="1">
      <alignment horizontal="left" wrapText="1"/>
    </xf>
    <xf numFmtId="0" fontId="2" fillId="7" borderId="35" xfId="0" applyFont="1" applyFill="1" applyBorder="1" applyAlignment="1">
      <alignment wrapText="1"/>
    </xf>
    <xf numFmtId="0" fontId="11" fillId="7" borderId="35" xfId="0" applyFont="1" applyFill="1" applyBorder="1" applyAlignment="1">
      <alignment horizontal="center" vertical="center"/>
    </xf>
    <xf numFmtId="0" fontId="11" fillId="7" borderId="35" xfId="0" applyFont="1" applyFill="1" applyBorder="1" applyAlignment="1">
      <alignment horizontal="center" vertical="center" wrapText="1"/>
    </xf>
    <xf numFmtId="0" fontId="2" fillId="7" borderId="35" xfId="0" applyFont="1" applyFill="1" applyBorder="1" applyAlignment="1">
      <alignment horizontal="center" wrapText="1"/>
    </xf>
    <xf numFmtId="0" fontId="17" fillId="7" borderId="35" xfId="0" applyFont="1" applyFill="1" applyBorder="1" applyAlignment="1">
      <alignment horizontal="center" vertical="center"/>
    </xf>
    <xf numFmtId="0" fontId="25" fillId="7" borderId="35" xfId="3" applyFont="1" applyFill="1" applyBorder="1" applyAlignment="1">
      <alignment horizontal="center" vertical="center" wrapText="1"/>
    </xf>
    <xf numFmtId="0" fontId="26" fillId="2" borderId="35" xfId="0" applyFont="1" applyFill="1" applyBorder="1" applyAlignment="1">
      <alignment horizontal="center" vertical="center" wrapText="1"/>
    </xf>
    <xf numFmtId="0" fontId="25" fillId="2" borderId="35" xfId="0" applyFont="1" applyFill="1" applyBorder="1" applyAlignment="1">
      <alignment horizontal="center" vertical="center"/>
    </xf>
    <xf numFmtId="0" fontId="26" fillId="2" borderId="14" xfId="0" applyFont="1" applyFill="1" applyBorder="1"/>
    <xf numFmtId="0" fontId="26" fillId="2" borderId="14" xfId="0" applyFont="1" applyFill="1" applyBorder="1" applyAlignment="1">
      <alignment wrapText="1"/>
    </xf>
    <xf numFmtId="0" fontId="25" fillId="2" borderId="14" xfId="0" applyFont="1" applyFill="1" applyBorder="1" applyAlignment="1">
      <alignment wrapText="1"/>
    </xf>
    <xf numFmtId="0" fontId="27" fillId="2" borderId="0" xfId="0" applyFont="1" applyFill="1" applyAlignment="1">
      <alignment wrapText="1"/>
    </xf>
    <xf numFmtId="0" fontId="25" fillId="2" borderId="0" xfId="0" applyFont="1" applyFill="1" applyAlignment="1">
      <alignment wrapText="1"/>
    </xf>
    <xf numFmtId="0" fontId="29" fillId="2" borderId="0" xfId="0" applyFont="1" applyFill="1" applyAlignment="1">
      <alignment wrapText="1"/>
    </xf>
    <xf numFmtId="0" fontId="26" fillId="2" borderId="0" xfId="0" applyFont="1" applyFill="1"/>
    <xf numFmtId="0" fontId="27" fillId="2" borderId="15" xfId="3" applyFont="1" applyFill="1" applyBorder="1" applyAlignment="1">
      <alignment horizontal="left" wrapText="1"/>
    </xf>
    <xf numFmtId="0" fontId="27" fillId="2" borderId="16" xfId="3" applyFont="1" applyFill="1" applyBorder="1" applyAlignment="1">
      <alignment horizontal="left" wrapText="1"/>
    </xf>
    <xf numFmtId="0" fontId="31" fillId="2" borderId="0" xfId="0" applyFont="1" applyFill="1"/>
    <xf numFmtId="0" fontId="31" fillId="2" borderId="16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 wrapText="1"/>
    </xf>
    <xf numFmtId="0" fontId="25" fillId="2" borderId="0" xfId="0" applyFont="1" applyFill="1" applyAlignment="1">
      <alignment horizontal="center" wrapText="1"/>
    </xf>
    <xf numFmtId="0" fontId="29" fillId="2" borderId="0" xfId="0" applyFont="1" applyFill="1" applyAlignment="1">
      <alignment horizontal="center" wrapText="1"/>
    </xf>
    <xf numFmtId="0" fontId="26" fillId="2" borderId="17" xfId="0" applyFont="1" applyFill="1" applyBorder="1" applyAlignment="1">
      <alignment horizontal="center" vertical="center"/>
    </xf>
    <xf numFmtId="0" fontId="26" fillId="2" borderId="18" xfId="0" applyFont="1" applyFill="1" applyBorder="1" applyAlignment="1">
      <alignment horizontal="center" vertical="center"/>
    </xf>
    <xf numFmtId="0" fontId="26" fillId="2" borderId="19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wrapText="1"/>
    </xf>
    <xf numFmtId="0" fontId="32" fillId="2" borderId="0" xfId="3" applyFont="1" applyFill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5" fillId="0" borderId="0" xfId="0" applyFont="1"/>
    <xf numFmtId="0" fontId="26" fillId="2" borderId="0" xfId="0" applyFont="1" applyFill="1" applyAlignment="1">
      <alignment vertical="top"/>
    </xf>
    <xf numFmtId="0" fontId="25" fillId="2" borderId="0" xfId="0" applyFont="1" applyFill="1"/>
    <xf numFmtId="0" fontId="25" fillId="2" borderId="0" xfId="3" applyFont="1" applyFill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25" fillId="2" borderId="0" xfId="3" applyFont="1" applyFill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vertical="top" wrapText="1"/>
    </xf>
    <xf numFmtId="0" fontId="29" fillId="2" borderId="0" xfId="0" applyFont="1" applyFill="1" applyAlignment="1">
      <alignment vertical="top" wrapText="1"/>
    </xf>
    <xf numFmtId="0" fontId="25" fillId="2" borderId="0" xfId="3" applyFont="1" applyFill="1" applyAlignment="1">
      <alignment vertical="center" wrapText="1"/>
    </xf>
    <xf numFmtId="0" fontId="29" fillId="2" borderId="0" xfId="0" applyFont="1" applyFill="1"/>
    <xf numFmtId="0" fontId="25" fillId="0" borderId="0" xfId="3" applyFont="1" applyAlignment="1">
      <alignment horizontal="center" vertical="center"/>
    </xf>
    <xf numFmtId="0" fontId="25" fillId="0" borderId="0" xfId="3" applyFont="1" applyAlignment="1">
      <alignment horizontal="left" vertical="center" wrapText="1"/>
    </xf>
    <xf numFmtId="0" fontId="27" fillId="0" borderId="0" xfId="3" applyFont="1" applyAlignment="1">
      <alignment horizontal="left" vertical="center"/>
    </xf>
    <xf numFmtId="0" fontId="32" fillId="0" borderId="0" xfId="3" applyFont="1" applyAlignment="1">
      <alignment horizontal="left" vertical="center"/>
    </xf>
    <xf numFmtId="0" fontId="26" fillId="0" borderId="0" xfId="0" applyFont="1"/>
    <xf numFmtId="0" fontId="25" fillId="2" borderId="0" xfId="0" applyFont="1" applyFill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0" fontId="33" fillId="0" borderId="0" xfId="0" applyFont="1"/>
    <xf numFmtId="0" fontId="34" fillId="0" borderId="0" xfId="0" applyFont="1" applyAlignment="1">
      <alignment wrapText="1"/>
    </xf>
    <xf numFmtId="0" fontId="26" fillId="2" borderId="22" xfId="0" applyFont="1" applyFill="1" applyBorder="1" applyAlignment="1">
      <alignment horizontal="center" vertical="center"/>
    </xf>
    <xf numFmtId="0" fontId="28" fillId="3" borderId="2" xfId="3" applyFont="1" applyFill="1" applyBorder="1" applyAlignment="1">
      <alignment horizontal="center" vertical="center" wrapText="1"/>
    </xf>
    <xf numFmtId="0" fontId="28" fillId="3" borderId="20" xfId="3" applyFont="1" applyFill="1" applyBorder="1" applyAlignment="1">
      <alignment horizontal="center" vertical="center" wrapText="1"/>
    </xf>
    <xf numFmtId="0" fontId="27" fillId="5" borderId="38" xfId="3" applyFont="1" applyFill="1" applyBorder="1" applyAlignment="1">
      <alignment horizontal="left" vertical="center"/>
    </xf>
    <xf numFmtId="0" fontId="27" fillId="5" borderId="23" xfId="3" applyFont="1" applyFill="1" applyBorder="1" applyAlignment="1">
      <alignment horizontal="left" vertical="center"/>
    </xf>
    <xf numFmtId="0" fontId="27" fillId="5" borderId="39" xfId="3" applyFont="1" applyFill="1" applyBorder="1" applyAlignment="1">
      <alignment horizontal="left" vertical="center"/>
    </xf>
    <xf numFmtId="0" fontId="32" fillId="2" borderId="0" xfId="3" applyFont="1" applyFill="1" applyAlignment="1">
      <alignment horizontal="left" vertical="center"/>
    </xf>
    <xf numFmtId="0" fontId="25" fillId="2" borderId="0" xfId="3" applyFont="1" applyFill="1" applyAlignment="1">
      <alignment vertical="top" wrapText="1"/>
    </xf>
    <xf numFmtId="0" fontId="0" fillId="9" borderId="0" xfId="0" applyFill="1"/>
    <xf numFmtId="0" fontId="2" fillId="7" borderId="0" xfId="3" applyFont="1" applyFill="1" applyAlignment="1">
      <alignment vertical="top" wrapText="1"/>
    </xf>
    <xf numFmtId="0" fontId="17" fillId="7" borderId="0" xfId="0" applyFont="1" applyFill="1" applyAlignment="1">
      <alignment horizontal="left" vertical="top" wrapText="1"/>
    </xf>
    <xf numFmtId="0" fontId="2" fillId="7" borderId="0" xfId="0" applyFont="1" applyFill="1" applyAlignment="1">
      <alignment vertical="top" wrapText="1"/>
    </xf>
    <xf numFmtId="0" fontId="13" fillId="8" borderId="0" xfId="3" applyFont="1" applyFill="1" applyAlignment="1">
      <alignment horizontal="left" vertical="center"/>
    </xf>
    <xf numFmtId="0" fontId="2" fillId="7" borderId="0" xfId="0" applyFont="1" applyFill="1"/>
    <xf numFmtId="0" fontId="31" fillId="7" borderId="35" xfId="0" applyFont="1" applyFill="1" applyBorder="1" applyAlignment="1">
      <alignment horizontal="center" vertical="center"/>
    </xf>
    <xf numFmtId="0" fontId="31" fillId="7" borderId="35" xfId="0" applyFont="1" applyFill="1" applyBorder="1" applyAlignment="1">
      <alignment horizontal="center" vertical="center" wrapText="1"/>
    </xf>
    <xf numFmtId="0" fontId="26" fillId="7" borderId="35" xfId="0" applyFont="1" applyFill="1" applyBorder="1" applyAlignment="1">
      <alignment horizontal="center" vertical="center"/>
    </xf>
    <xf numFmtId="0" fontId="28" fillId="3" borderId="36" xfId="3" applyFont="1" applyFill="1" applyBorder="1" applyAlignment="1">
      <alignment horizontal="center" vertical="center" wrapText="1"/>
    </xf>
    <xf numFmtId="0" fontId="28" fillId="3" borderId="37" xfId="3" applyFont="1" applyFill="1" applyBorder="1" applyAlignment="1">
      <alignment horizontal="center" vertical="center" wrapText="1"/>
    </xf>
    <xf numFmtId="0" fontId="27" fillId="5" borderId="1" xfId="3" applyFont="1" applyFill="1" applyBorder="1" applyAlignment="1">
      <alignment horizontal="center" vertical="center"/>
    </xf>
    <xf numFmtId="0" fontId="27" fillId="5" borderId="21" xfId="3" applyFont="1" applyFill="1" applyBorder="1" applyAlignment="1">
      <alignment horizontal="center" vertical="center"/>
    </xf>
    <xf numFmtId="0" fontId="27" fillId="5" borderId="3" xfId="3" applyFont="1" applyFill="1" applyBorder="1" applyAlignment="1">
      <alignment horizontal="center" vertical="center"/>
    </xf>
    <xf numFmtId="0" fontId="25" fillId="8" borderId="1" xfId="3" applyFont="1" applyFill="1" applyBorder="1" applyAlignment="1">
      <alignment horizontal="center" vertical="center"/>
    </xf>
    <xf numFmtId="0" fontId="25" fillId="8" borderId="35" xfId="3" applyFont="1" applyFill="1" applyBorder="1" applyAlignment="1">
      <alignment horizontal="center" vertical="center"/>
    </xf>
    <xf numFmtId="0" fontId="25" fillId="8" borderId="35" xfId="3" applyFont="1" applyFill="1" applyBorder="1" applyAlignment="1">
      <alignment horizontal="center" vertical="center" wrapText="1"/>
    </xf>
    <xf numFmtId="0" fontId="27" fillId="8" borderId="35" xfId="3" applyFont="1" applyFill="1" applyBorder="1" applyAlignment="1">
      <alignment horizontal="center" vertical="center"/>
    </xf>
    <xf numFmtId="0" fontId="27" fillId="0" borderId="23" xfId="3" applyFont="1" applyBorder="1" applyAlignment="1">
      <alignment horizontal="center" vertical="center"/>
    </xf>
    <xf numFmtId="0" fontId="26" fillId="2" borderId="35" xfId="0" applyFont="1" applyFill="1" applyBorder="1" applyAlignment="1">
      <alignment horizontal="center" vertical="center"/>
    </xf>
    <xf numFmtId="0" fontId="27" fillId="2" borderId="35" xfId="0" applyFont="1" applyFill="1" applyBorder="1" applyAlignment="1">
      <alignment horizontal="center" vertical="center" wrapText="1"/>
    </xf>
    <xf numFmtId="0" fontId="27" fillId="7" borderId="35" xfId="3" applyFont="1" applyFill="1" applyBorder="1" applyAlignment="1">
      <alignment horizontal="center" vertical="center" wrapText="1"/>
    </xf>
    <xf numFmtId="0" fontId="25" fillId="7" borderId="35" xfId="0" applyFont="1" applyFill="1" applyBorder="1" applyAlignment="1">
      <alignment horizontal="center" vertical="center" wrapText="1"/>
    </xf>
    <xf numFmtId="0" fontId="25" fillId="9" borderId="35" xfId="0" applyFont="1" applyFill="1" applyBorder="1" applyAlignment="1">
      <alignment horizontal="center" vertical="center"/>
    </xf>
    <xf numFmtId="0" fontId="25" fillId="7" borderId="2" xfId="3" applyFont="1" applyFill="1" applyBorder="1" applyAlignment="1">
      <alignment horizontal="center" vertical="center" wrapText="1"/>
    </xf>
    <xf numFmtId="0" fontId="25" fillId="2" borderId="36" xfId="3" applyFont="1" applyFill="1" applyBorder="1" applyAlignment="1">
      <alignment horizontal="center" vertical="center" wrapText="1"/>
    </xf>
    <xf numFmtId="0" fontId="26" fillId="2" borderId="36" xfId="0" applyFont="1" applyFill="1" applyBorder="1" applyAlignment="1">
      <alignment horizontal="center" vertical="center" wrapText="1"/>
    </xf>
    <xf numFmtId="0" fontId="25" fillId="2" borderId="2" xfId="3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6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" fontId="6" fillId="2" borderId="2" xfId="0" applyNumberFormat="1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top" wrapText="1"/>
    </xf>
    <xf numFmtId="1" fontId="6" fillId="2" borderId="1" xfId="0" applyNumberFormat="1" applyFont="1" applyFill="1" applyBorder="1"/>
    <xf numFmtId="0" fontId="7" fillId="2" borderId="2" xfId="0" applyFont="1" applyFill="1" applyBorder="1" applyAlignment="1">
      <alignment horizontal="left"/>
    </xf>
    <xf numFmtId="0" fontId="26" fillId="2" borderId="32" xfId="0" applyFont="1" applyFill="1" applyBorder="1" applyAlignment="1">
      <alignment horizontal="center" vertical="center" wrapText="1"/>
    </xf>
    <xf numFmtId="0" fontId="30" fillId="2" borderId="33" xfId="3" applyFont="1" applyFill="1" applyBorder="1" applyAlignment="1">
      <alignment horizontal="left" wrapText="1"/>
    </xf>
    <xf numFmtId="0" fontId="30" fillId="2" borderId="34" xfId="3" applyFont="1" applyFill="1" applyBorder="1" applyAlignment="1">
      <alignment horizontal="left" wrapText="1"/>
    </xf>
    <xf numFmtId="0" fontId="31" fillId="2" borderId="33" xfId="0" applyFont="1" applyFill="1" applyBorder="1" applyAlignment="1">
      <alignment horizontal="center" vertical="center" wrapText="1"/>
    </xf>
    <xf numFmtId="0" fontId="7" fillId="7" borderId="35" xfId="3" applyFont="1" applyFill="1" applyBorder="1" applyAlignment="1">
      <alignment horizontal="left" wrapText="1"/>
    </xf>
    <xf numFmtId="0" fontId="11" fillId="7" borderId="35" xfId="0" applyFont="1" applyFill="1" applyBorder="1" applyAlignment="1">
      <alignment horizontal="center" vertical="center" wrapText="1"/>
    </xf>
    <xf numFmtId="0" fontId="17" fillId="7" borderId="35" xfId="0" applyFont="1" applyFill="1" applyBorder="1" applyAlignment="1">
      <alignment horizontal="center" vertical="center" wrapText="1"/>
    </xf>
    <xf numFmtId="0" fontId="30" fillId="7" borderId="35" xfId="3" applyFont="1" applyFill="1" applyBorder="1" applyAlignment="1">
      <alignment horizontal="center" vertical="center" wrapText="1"/>
    </xf>
    <xf numFmtId="0" fontId="31" fillId="7" borderId="35" xfId="0" applyFont="1" applyFill="1" applyBorder="1" applyAlignment="1">
      <alignment horizontal="center" vertical="center" wrapText="1"/>
    </xf>
    <xf numFmtId="0" fontId="26" fillId="7" borderId="35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/>
    </xf>
    <xf numFmtId="0" fontId="7" fillId="2" borderId="2" xfId="2" applyFont="1" applyFill="1" applyBorder="1" applyAlignment="1">
      <alignment vertical="top"/>
    </xf>
    <xf numFmtId="0" fontId="5" fillId="2" borderId="0" xfId="2" applyFont="1" applyFill="1" applyAlignment="1">
      <alignment horizontal="center"/>
    </xf>
  </cellXfs>
  <cellStyles count="5">
    <cellStyle name="Hyperlink" xfId="1" builtinId="8"/>
    <cellStyle name="Normal" xfId="0" builtinId="0"/>
    <cellStyle name="Normal_Functional Test Case v1.0" xfId="2" xr:uid="{C48BB584-700B-D64B-8404-4676C820111A}"/>
    <cellStyle name="Normal_Sheet1" xfId="3" xr:uid="{A9264020-C429-5142-9C39-B67A411B90CE}"/>
    <cellStyle name="標準_結合試験(AllOvertheWorld)" xfId="4" xr:uid="{68F5B3C1-6BAD-E84F-8A2E-C6AF50D2838D}"/>
  </cellStyles>
  <dxfs count="0"/>
  <tableStyles count="1" defaultTableStyle="TableStyleMedium9" defaultPivotStyle="PivotStyleLight16">
    <tableStyle name="Invisible" pivot="0" table="0" count="0" xr9:uid="{AF480CE7-EB18-DC4D-AB1A-332A241A87F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348D-9796-DF47-B02F-62DFD208A110}">
  <dimension ref="A2:G18"/>
  <sheetViews>
    <sheetView workbookViewId="0">
      <selection activeCell="C36" sqref="C36"/>
    </sheetView>
  </sheetViews>
  <sheetFormatPr baseColWidth="10" defaultColWidth="9" defaultRowHeight="13"/>
  <cols>
    <col min="1" max="1" width="2.1640625" style="1" customWidth="1"/>
    <col min="2" max="2" width="19.6640625" style="2" customWidth="1"/>
    <col min="3" max="3" width="9.1640625" style="1" customWidth="1"/>
    <col min="4" max="4" width="14.5" style="1" customWidth="1"/>
    <col min="5" max="5" width="8" style="1" customWidth="1"/>
    <col min="6" max="6" width="31.1640625" style="1" customWidth="1"/>
    <col min="7" max="7" width="31" style="1" customWidth="1"/>
    <col min="8" max="16384" width="9" style="1"/>
  </cols>
  <sheetData>
    <row r="2" spans="1:7" s="5" customFormat="1" ht="75.75" customHeight="1">
      <c r="A2" s="3"/>
      <c r="B2" s="4"/>
      <c r="C2" s="200" t="s">
        <v>0</v>
      </c>
      <c r="D2" s="200"/>
      <c r="E2" s="200"/>
      <c r="F2" s="200"/>
      <c r="G2" s="200"/>
    </row>
    <row r="3" spans="1:7">
      <c r="B3" s="6"/>
      <c r="C3" s="7"/>
      <c r="F3" s="8"/>
    </row>
    <row r="4" spans="1:7" ht="14.25" customHeight="1">
      <c r="B4" s="9" t="s">
        <v>1</v>
      </c>
      <c r="C4" s="201" t="s">
        <v>2</v>
      </c>
      <c r="D4" s="201"/>
      <c r="E4" s="201"/>
      <c r="F4" s="9" t="s">
        <v>3</v>
      </c>
      <c r="G4" s="10"/>
    </row>
    <row r="5" spans="1:7" ht="14.25" customHeight="1">
      <c r="B5" s="9" t="s">
        <v>4</v>
      </c>
      <c r="C5" s="201" t="s">
        <v>5</v>
      </c>
      <c r="D5" s="201"/>
      <c r="E5" s="201"/>
      <c r="F5" s="9" t="s">
        <v>6</v>
      </c>
      <c r="G5" s="10"/>
    </row>
    <row r="6" spans="1:7" ht="15.75" customHeight="1">
      <c r="B6" s="202" t="s">
        <v>7</v>
      </c>
      <c r="C6" s="203" t="str">
        <f>C5&amp;"_"&amp;"XXX"&amp;"_"&amp;"vx.x"</f>
        <v>&lt;Project Code&gt;_XXX_vx.x</v>
      </c>
      <c r="D6" s="203"/>
      <c r="E6" s="203"/>
      <c r="F6" s="9" t="s">
        <v>8</v>
      </c>
      <c r="G6" s="12"/>
    </row>
    <row r="7" spans="1:7" ht="13.5" customHeight="1">
      <c r="B7" s="202"/>
      <c r="C7" s="203"/>
      <c r="D7" s="203"/>
      <c r="E7" s="203"/>
      <c r="F7" s="9" t="s">
        <v>9</v>
      </c>
      <c r="G7" s="12"/>
    </row>
    <row r="8" spans="1:7">
      <c r="B8" s="13"/>
      <c r="C8" s="14"/>
      <c r="F8" s="6"/>
      <c r="G8" s="7"/>
    </row>
    <row r="10" spans="1:7">
      <c r="B10" s="15" t="s">
        <v>10</v>
      </c>
    </row>
    <row r="11" spans="1:7" s="16" customFormat="1">
      <c r="B11" s="17" t="s">
        <v>11</v>
      </c>
      <c r="C11" s="18" t="s">
        <v>9</v>
      </c>
      <c r="D11" s="18" t="s">
        <v>12</v>
      </c>
      <c r="E11" s="18" t="s">
        <v>13</v>
      </c>
      <c r="F11" s="18" t="s">
        <v>14</v>
      </c>
      <c r="G11" s="19" t="s">
        <v>15</v>
      </c>
    </row>
    <row r="12" spans="1:7" s="20" customFormat="1" ht="28">
      <c r="B12" s="21" t="s">
        <v>16</v>
      </c>
      <c r="C12" s="22"/>
      <c r="D12" s="23"/>
      <c r="E12" s="23"/>
      <c r="F12" s="24"/>
      <c r="G12" s="25" t="s">
        <v>45</v>
      </c>
    </row>
    <row r="13" spans="1:7" s="20" customFormat="1" ht="21.75" customHeight="1">
      <c r="B13" s="26"/>
      <c r="C13" s="22"/>
      <c r="D13" s="23"/>
      <c r="E13" s="23"/>
      <c r="F13" s="23"/>
      <c r="G13" s="27"/>
    </row>
    <row r="14" spans="1:7" s="20" customFormat="1" ht="19.5" customHeight="1">
      <c r="B14" s="26"/>
      <c r="C14" s="22"/>
      <c r="D14" s="23"/>
      <c r="E14" s="23"/>
      <c r="F14" s="23"/>
      <c r="G14" s="27"/>
    </row>
    <row r="15" spans="1:7" s="20" customFormat="1" ht="21.75" customHeight="1">
      <c r="B15" s="26"/>
      <c r="C15" s="22"/>
      <c r="D15" s="23"/>
      <c r="E15" s="23"/>
      <c r="F15" s="23"/>
      <c r="G15" s="27"/>
    </row>
    <row r="16" spans="1:7" s="20" customFormat="1" ht="19.5" customHeight="1">
      <c r="B16" s="26"/>
      <c r="C16" s="22"/>
      <c r="D16" s="23"/>
      <c r="E16" s="23"/>
      <c r="F16" s="23"/>
      <c r="G16" s="27"/>
    </row>
    <row r="17" spans="2:7" s="20" customFormat="1" ht="21.75" customHeight="1">
      <c r="B17" s="26"/>
      <c r="C17" s="22"/>
      <c r="D17" s="23"/>
      <c r="E17" s="23"/>
      <c r="F17" s="23"/>
      <c r="G17" s="27"/>
    </row>
    <row r="18" spans="2:7" s="20" customFormat="1" ht="19.5" customHeight="1">
      <c r="B18" s="28"/>
      <c r="C18" s="29"/>
      <c r="D18" s="30"/>
      <c r="E18" s="30"/>
      <c r="F18" s="30"/>
      <c r="G18" s="31"/>
    </row>
  </sheetData>
  <mergeCells count="5">
    <mergeCell ref="C2:G2"/>
    <mergeCell ref="C4:E4"/>
    <mergeCell ref="C5:E5"/>
    <mergeCell ref="B6:B7"/>
    <mergeCell ref="C6:E7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C800-0BA0-DF42-BAF3-9D3D5760E564}">
  <dimension ref="B1:F21"/>
  <sheetViews>
    <sheetView zoomScale="141" workbookViewId="0">
      <selection activeCell="C9" sqref="C9"/>
    </sheetView>
  </sheetViews>
  <sheetFormatPr baseColWidth="10" defaultColWidth="9" defaultRowHeight="13"/>
  <cols>
    <col min="1" max="1" width="1.33203125" style="8" customWidth="1"/>
    <col min="2" max="2" width="11.83203125" style="32" customWidth="1"/>
    <col min="3" max="3" width="26.5" style="33" customWidth="1"/>
    <col min="4" max="4" width="17.1640625" style="33" customWidth="1"/>
    <col min="5" max="5" width="28.1640625" style="33" customWidth="1"/>
    <col min="6" max="6" width="30.6640625" style="33" customWidth="1"/>
    <col min="7" max="16384" width="9" style="8"/>
  </cols>
  <sheetData>
    <row r="1" spans="2:6" ht="25">
      <c r="B1" s="34"/>
      <c r="D1" s="35" t="s">
        <v>17</v>
      </c>
      <c r="E1" s="36"/>
    </row>
    <row r="2" spans="2:6" ht="13.5" customHeight="1">
      <c r="B2" s="34"/>
      <c r="D2" s="37"/>
      <c r="E2" s="37"/>
    </row>
    <row r="3" spans="2:6">
      <c r="B3" s="206" t="s">
        <v>1</v>
      </c>
      <c r="C3" s="206"/>
      <c r="D3" s="207" t="str">
        <f>Cover!C4</f>
        <v>&lt;Project Name&gt;</v>
      </c>
      <c r="E3" s="207"/>
      <c r="F3" s="207"/>
    </row>
    <row r="4" spans="2:6">
      <c r="B4" s="206" t="s">
        <v>4</v>
      </c>
      <c r="C4" s="206"/>
      <c r="D4" s="207" t="str">
        <f>Cover!C5</f>
        <v>&lt;Project Code&gt;</v>
      </c>
      <c r="E4" s="207"/>
      <c r="F4" s="207"/>
    </row>
    <row r="5" spans="2:6" s="38" customFormat="1" ht="84.75" customHeight="1">
      <c r="B5" s="204" t="s">
        <v>18</v>
      </c>
      <c r="C5" s="204"/>
      <c r="D5" s="205" t="s">
        <v>19</v>
      </c>
      <c r="E5" s="205"/>
      <c r="F5" s="205"/>
    </row>
    <row r="6" spans="2:6">
      <c r="B6" s="39"/>
      <c r="C6" s="8"/>
      <c r="D6" s="8"/>
      <c r="E6" s="8"/>
      <c r="F6" s="8"/>
    </row>
    <row r="7" spans="2:6" s="40" customFormat="1">
      <c r="B7" s="41"/>
      <c r="C7" s="42"/>
      <c r="D7" s="42"/>
      <c r="E7" s="42"/>
      <c r="F7" s="42"/>
    </row>
    <row r="8" spans="2:6" s="43" customFormat="1" ht="21" customHeight="1">
      <c r="B8" s="44" t="s">
        <v>20</v>
      </c>
      <c r="C8" s="45" t="s">
        <v>121</v>
      </c>
      <c r="D8" s="45" t="s">
        <v>21</v>
      </c>
      <c r="E8" s="46" t="s">
        <v>22</v>
      </c>
      <c r="F8" s="47" t="s">
        <v>23</v>
      </c>
    </row>
    <row r="9" spans="2:6">
      <c r="B9" s="48">
        <v>1</v>
      </c>
      <c r="C9" s="49" t="s">
        <v>84</v>
      </c>
      <c r="D9" s="50" t="s">
        <v>24</v>
      </c>
      <c r="E9" s="50"/>
      <c r="F9" s="51"/>
    </row>
    <row r="10" spans="2:6" ht="14">
      <c r="B10" s="48">
        <v>2</v>
      </c>
      <c r="C10" s="49" t="s">
        <v>96</v>
      </c>
      <c r="D10" s="99" t="s">
        <v>25</v>
      </c>
      <c r="E10" s="50"/>
      <c r="F10" s="51"/>
    </row>
    <row r="11" spans="2:6" ht="14">
      <c r="B11" s="48">
        <v>3</v>
      </c>
      <c r="C11" s="49" t="s">
        <v>97</v>
      </c>
      <c r="D11" s="100" t="s">
        <v>49</v>
      </c>
      <c r="E11" s="50"/>
      <c r="F11" s="51"/>
    </row>
    <row r="12" spans="2:6" ht="14">
      <c r="B12" s="48">
        <v>4</v>
      </c>
      <c r="C12" s="49" t="s">
        <v>98</v>
      </c>
      <c r="D12" s="100" t="s">
        <v>115</v>
      </c>
      <c r="E12" s="50"/>
      <c r="F12" s="51"/>
    </row>
    <row r="13" spans="2:6">
      <c r="B13" s="48"/>
      <c r="C13" s="49"/>
      <c r="D13" s="50"/>
      <c r="E13" s="50"/>
      <c r="F13" s="51"/>
    </row>
    <row r="14" spans="2:6">
      <c r="B14" s="48"/>
      <c r="D14" s="52"/>
      <c r="E14" s="52"/>
      <c r="F14" s="51"/>
    </row>
    <row r="15" spans="2:6">
      <c r="B15" s="48"/>
      <c r="C15" s="49"/>
      <c r="D15" s="52"/>
      <c r="E15" s="52"/>
      <c r="F15" s="51"/>
    </row>
    <row r="16" spans="2:6">
      <c r="B16" s="48"/>
      <c r="C16" s="49"/>
      <c r="D16" s="52"/>
      <c r="E16" s="52"/>
      <c r="F16" s="51"/>
    </row>
    <row r="17" spans="2:6">
      <c r="B17" s="48"/>
      <c r="C17" s="49"/>
      <c r="D17" s="52"/>
      <c r="E17" s="52"/>
      <c r="F17" s="51"/>
    </row>
    <row r="18" spans="2:6">
      <c r="B18" s="48"/>
      <c r="C18" s="49"/>
      <c r="D18" s="52"/>
      <c r="E18" s="52"/>
      <c r="F18" s="51"/>
    </row>
    <row r="19" spans="2:6">
      <c r="B19" s="48"/>
      <c r="C19" s="49"/>
      <c r="D19" s="52"/>
      <c r="E19" s="52"/>
      <c r="F19" s="51"/>
    </row>
    <row r="20" spans="2:6">
      <c r="B20" s="48"/>
      <c r="C20" s="49"/>
      <c r="D20" s="52"/>
      <c r="E20" s="52"/>
      <c r="F20" s="51"/>
    </row>
    <row r="21" spans="2:6">
      <c r="B21" s="53"/>
      <c r="C21" s="54"/>
      <c r="D21" s="55"/>
      <c r="E21" s="55"/>
      <c r="F21" s="56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1!B10" display="Module1" xr:uid="{FC77F630-5337-2145-ADDB-A7DD980E1A2D}"/>
    <hyperlink ref="D11" location="Module3!B17" display="Module3" xr:uid="{759E4C47-A82E-C148-A178-12FF206E8AD5}"/>
    <hyperlink ref="D10" location="Module2!A1" display="Module2" xr:uid="{EFC3B2F0-9872-0B4D-9F85-37113E4168DE}"/>
    <hyperlink ref="D12" location="Module4!A1" display="Module4" xr:uid="{20CAF03E-8E95-E24F-9AF5-5471B6EC1FA0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9DE56-4F34-3847-9DE3-3FE1ACFF2F2A}">
  <dimension ref="A1:G12"/>
  <sheetViews>
    <sheetView workbookViewId="0">
      <selection activeCell="B9" sqref="B9"/>
    </sheetView>
  </sheetViews>
  <sheetFormatPr baseColWidth="10" defaultRowHeight="14"/>
  <cols>
    <col min="1" max="1" width="22.83203125" customWidth="1"/>
    <col min="2" max="2" width="23.83203125" customWidth="1"/>
    <col min="3" max="3" width="17.6640625" customWidth="1"/>
    <col min="4" max="4" width="15.83203125" customWidth="1"/>
    <col min="5" max="5" width="33.5" customWidth="1"/>
    <col min="6" max="6" width="28.5" customWidth="1"/>
    <col min="7" max="7" width="33.83203125" customWidth="1"/>
  </cols>
  <sheetData>
    <row r="1" spans="1:7" ht="20">
      <c r="A1" s="101" t="s">
        <v>53</v>
      </c>
      <c r="B1" s="101" t="s">
        <v>54</v>
      </c>
      <c r="C1" s="101" t="s">
        <v>55</v>
      </c>
      <c r="D1" s="101" t="s">
        <v>56</v>
      </c>
      <c r="E1" s="101" t="s">
        <v>57</v>
      </c>
      <c r="F1" s="101" t="s">
        <v>58</v>
      </c>
      <c r="G1" s="101" t="s">
        <v>34</v>
      </c>
    </row>
    <row r="2" spans="1:7" ht="20">
      <c r="A2" s="102" t="s">
        <v>50</v>
      </c>
      <c r="B2" s="102" t="s">
        <v>59</v>
      </c>
      <c r="C2" s="102" t="s">
        <v>60</v>
      </c>
      <c r="D2" s="102" t="s">
        <v>61</v>
      </c>
      <c r="E2" s="102" t="s">
        <v>62</v>
      </c>
      <c r="F2" s="102" t="s">
        <v>63</v>
      </c>
      <c r="G2" s="102" t="s">
        <v>64</v>
      </c>
    </row>
    <row r="3" spans="1:7" ht="20">
      <c r="A3" s="102" t="s">
        <v>51</v>
      </c>
      <c r="B3" s="102" t="s">
        <v>65</v>
      </c>
      <c r="C3" s="102" t="s">
        <v>66</v>
      </c>
      <c r="D3" s="102" t="s">
        <v>67</v>
      </c>
      <c r="E3" s="102" t="s">
        <v>68</v>
      </c>
      <c r="F3" s="102" t="s">
        <v>63</v>
      </c>
      <c r="G3" s="102" t="s">
        <v>69</v>
      </c>
    </row>
    <row r="4" spans="1:7" ht="20">
      <c r="A4" s="102" t="s">
        <v>75</v>
      </c>
      <c r="B4" s="102" t="s">
        <v>70</v>
      </c>
      <c r="C4" s="102" t="s">
        <v>71</v>
      </c>
      <c r="D4" s="102" t="s">
        <v>61</v>
      </c>
      <c r="E4" s="102" t="s">
        <v>72</v>
      </c>
      <c r="F4" s="102" t="s">
        <v>63</v>
      </c>
      <c r="G4" s="102" t="s">
        <v>73</v>
      </c>
    </row>
    <row r="5" spans="1:7" ht="20">
      <c r="A5" s="102" t="s">
        <v>76</v>
      </c>
      <c r="B5" s="102" t="s">
        <v>74</v>
      </c>
      <c r="C5" s="102" t="s">
        <v>71</v>
      </c>
      <c r="D5" s="102" t="s">
        <v>29</v>
      </c>
      <c r="E5" s="102" t="s">
        <v>29</v>
      </c>
      <c r="F5" s="102" t="s">
        <v>29</v>
      </c>
      <c r="G5" s="102" t="s">
        <v>52</v>
      </c>
    </row>
    <row r="6" spans="1:7" ht="20">
      <c r="A6" s="102" t="s">
        <v>77</v>
      </c>
    </row>
    <row r="7" spans="1:7" ht="20">
      <c r="A7" s="102" t="s">
        <v>78</v>
      </c>
    </row>
    <row r="8" spans="1:7" ht="20">
      <c r="A8" s="102" t="s">
        <v>79</v>
      </c>
    </row>
    <row r="9" spans="1:7" ht="20">
      <c r="A9" s="102" t="s">
        <v>80</v>
      </c>
    </row>
    <row r="10" spans="1:7" ht="20">
      <c r="A10" s="102" t="s">
        <v>81</v>
      </c>
    </row>
    <row r="11" spans="1:7" ht="20">
      <c r="A11" s="102" t="s">
        <v>82</v>
      </c>
    </row>
    <row r="12" spans="1:7" ht="20">
      <c r="A12" s="102" t="s">
        <v>83</v>
      </c>
    </row>
  </sheetData>
  <phoneticPr fontId="2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ABC5-B443-FF41-BA73-04E67E6728A8}">
  <dimension ref="A1:J33"/>
  <sheetViews>
    <sheetView workbookViewId="0">
      <pane ySplit="8" topLeftCell="A9" activePane="bottomLeft" state="frozen"/>
      <selection pane="bottomLeft" activeCell="E15" sqref="E15"/>
    </sheetView>
  </sheetViews>
  <sheetFormatPr baseColWidth="10" defaultColWidth="9" defaultRowHeight="16"/>
  <cols>
    <col min="1" max="1" width="16" style="142" bestFit="1" customWidth="1"/>
    <col min="2" max="2" width="18.6640625" style="142" bestFit="1" customWidth="1"/>
    <col min="3" max="3" width="41.5" style="142" bestFit="1" customWidth="1"/>
    <col min="4" max="4" width="50.83203125" style="142" bestFit="1" customWidth="1"/>
    <col min="5" max="5" width="57" style="142" bestFit="1" customWidth="1"/>
    <col min="6" max="6" width="6.6640625" style="142" bestFit="1" customWidth="1"/>
    <col min="7" max="7" width="14.83203125" style="142" customWidth="1"/>
    <col min="8" max="8" width="11" style="142" bestFit="1" customWidth="1"/>
    <col min="9" max="9" width="8.1640625" style="151" customWidth="1"/>
    <col min="10" max="10" width="0" style="142" hidden="1" customWidth="1"/>
    <col min="11" max="16384" width="9" style="142"/>
  </cols>
  <sheetData>
    <row r="1" spans="1:10" s="124" customFormat="1">
      <c r="A1" s="118"/>
      <c r="B1" s="119"/>
      <c r="C1" s="119"/>
      <c r="D1" s="119"/>
      <c r="E1" s="119"/>
      <c r="F1" s="120"/>
      <c r="G1" s="121"/>
      <c r="H1" s="122"/>
      <c r="I1" s="123"/>
    </row>
    <row r="2" spans="1:10" s="124" customFormat="1" ht="15" customHeight="1">
      <c r="A2" s="125"/>
      <c r="B2" s="209"/>
      <c r="C2" s="209"/>
      <c r="D2" s="209"/>
      <c r="E2" s="209"/>
      <c r="F2" s="209"/>
      <c r="G2" s="122"/>
      <c r="H2" s="122"/>
      <c r="I2" s="123"/>
      <c r="J2" s="124" t="s">
        <v>26</v>
      </c>
    </row>
    <row r="3" spans="1:10" s="124" customFormat="1" ht="25.5" customHeight="1">
      <c r="A3" s="126"/>
      <c r="B3" s="209"/>
      <c r="C3" s="209"/>
      <c r="D3" s="209"/>
      <c r="E3" s="209"/>
      <c r="F3" s="209"/>
      <c r="G3" s="122"/>
      <c r="H3" s="122"/>
      <c r="I3" s="123"/>
      <c r="J3" s="124" t="s">
        <v>27</v>
      </c>
    </row>
    <row r="4" spans="1:10" s="124" customFormat="1" ht="18" customHeight="1">
      <c r="A4" s="125"/>
      <c r="B4" s="210"/>
      <c r="C4" s="210"/>
      <c r="D4" s="210"/>
      <c r="E4" s="210"/>
      <c r="F4" s="210"/>
      <c r="G4" s="122"/>
      <c r="H4" s="122"/>
      <c r="I4" s="123"/>
      <c r="J4" s="127"/>
    </row>
    <row r="5" spans="1:10" s="124" customFormat="1" ht="19.5" customHeight="1">
      <c r="A5" s="128"/>
      <c r="B5" s="129"/>
      <c r="C5" s="129"/>
      <c r="D5" s="130"/>
      <c r="E5" s="211"/>
      <c r="F5" s="211"/>
      <c r="G5" s="131"/>
      <c r="H5" s="131"/>
      <c r="I5" s="132"/>
      <c r="J5" s="124" t="s">
        <v>30</v>
      </c>
    </row>
    <row r="6" spans="1:10" s="124" customFormat="1" ht="15" customHeight="1">
      <c r="A6" s="133"/>
      <c r="B6" s="134"/>
      <c r="C6" s="134"/>
      <c r="D6" s="135"/>
      <c r="E6" s="208"/>
      <c r="F6" s="208"/>
      <c r="G6" s="131"/>
      <c r="H6" s="131"/>
      <c r="I6" s="132"/>
      <c r="J6" s="124" t="s">
        <v>29</v>
      </c>
    </row>
    <row r="7" spans="1:10" s="124" customFormat="1" ht="15" customHeight="1">
      <c r="D7" s="136"/>
      <c r="E7" s="136"/>
      <c r="F7" s="131"/>
      <c r="G7" s="131"/>
      <c r="H7" s="131"/>
      <c r="I7" s="132"/>
    </row>
    <row r="8" spans="1:10" s="124" customFormat="1" ht="25.5" customHeight="1">
      <c r="A8" s="103" t="s">
        <v>31</v>
      </c>
      <c r="B8" s="103" t="s">
        <v>85</v>
      </c>
      <c r="C8" s="103" t="s">
        <v>88</v>
      </c>
      <c r="D8" s="103" t="s">
        <v>89</v>
      </c>
      <c r="E8" s="103" t="s">
        <v>90</v>
      </c>
      <c r="F8" s="103" t="s">
        <v>32</v>
      </c>
      <c r="G8" s="103" t="s">
        <v>46</v>
      </c>
      <c r="H8" s="103" t="s">
        <v>47</v>
      </c>
      <c r="I8" s="137"/>
    </row>
    <row r="9" spans="1:10" s="141" customFormat="1" ht="85">
      <c r="A9" s="138" t="s">
        <v>122</v>
      </c>
      <c r="B9" s="138" t="s">
        <v>86</v>
      </c>
      <c r="C9" s="138" t="s">
        <v>87</v>
      </c>
      <c r="D9" s="139" t="s">
        <v>123</v>
      </c>
      <c r="E9" s="138" t="s">
        <v>124</v>
      </c>
      <c r="F9" s="140"/>
      <c r="G9" s="140"/>
      <c r="H9" s="140"/>
      <c r="I9" s="140"/>
      <c r="J9" s="140"/>
    </row>
    <row r="10" spans="1:10" s="141" customFormat="1" ht="85">
      <c r="A10" s="138" t="s">
        <v>125</v>
      </c>
      <c r="B10" s="138" t="s">
        <v>86</v>
      </c>
      <c r="C10" s="138" t="s">
        <v>91</v>
      </c>
      <c r="D10" s="139" t="s">
        <v>126</v>
      </c>
      <c r="E10" s="138" t="s">
        <v>127</v>
      </c>
      <c r="F10" s="140"/>
      <c r="G10" s="140"/>
      <c r="H10" s="140"/>
      <c r="I10" s="140"/>
      <c r="J10" s="140"/>
    </row>
    <row r="11" spans="1:10" ht="51">
      <c r="A11" s="138" t="s">
        <v>94</v>
      </c>
      <c r="B11" s="138" t="s">
        <v>48</v>
      </c>
      <c r="C11" s="138" t="s">
        <v>128</v>
      </c>
      <c r="D11" s="139" t="s">
        <v>129</v>
      </c>
      <c r="E11" s="138" t="s">
        <v>130</v>
      </c>
      <c r="F11" s="140"/>
      <c r="G11" s="140"/>
      <c r="H11" s="140"/>
      <c r="I11" s="140"/>
      <c r="J11" s="140"/>
    </row>
    <row r="12" spans="1:10" ht="51">
      <c r="A12" s="138" t="s">
        <v>95</v>
      </c>
      <c r="B12" s="138" t="s">
        <v>48</v>
      </c>
      <c r="C12" s="138" t="s">
        <v>93</v>
      </c>
      <c r="D12" s="139" t="s">
        <v>131</v>
      </c>
      <c r="E12" s="138" t="s">
        <v>132</v>
      </c>
      <c r="F12" s="140"/>
      <c r="G12" s="140"/>
      <c r="H12" s="140"/>
      <c r="I12" s="140"/>
      <c r="J12" s="140"/>
    </row>
    <row r="13" spans="1:10">
      <c r="A13" s="143"/>
      <c r="B13" s="144"/>
      <c r="C13" s="145"/>
      <c r="D13" s="146"/>
      <c r="E13" s="147"/>
      <c r="F13" s="143"/>
      <c r="G13" s="147"/>
      <c r="H13" s="148"/>
      <c r="I13" s="149"/>
    </row>
    <row r="14" spans="1:10">
      <c r="A14" s="138"/>
      <c r="B14" s="150"/>
      <c r="C14" s="145"/>
      <c r="D14" s="145"/>
      <c r="E14" s="147"/>
      <c r="F14" s="143"/>
      <c r="G14" s="147"/>
    </row>
    <row r="15" spans="1:10" s="156" customFormat="1" ht="47" customHeight="1">
      <c r="A15" s="152"/>
      <c r="B15" s="144"/>
      <c r="C15" s="153"/>
      <c r="D15" s="146"/>
      <c r="E15" s="147"/>
      <c r="F15" s="152"/>
      <c r="G15" s="147"/>
      <c r="H15" s="154"/>
      <c r="I15" s="155"/>
    </row>
    <row r="16" spans="1:10" s="156" customFormat="1" ht="47" customHeight="1">
      <c r="A16" s="138"/>
      <c r="B16" s="144"/>
      <c r="C16" s="146"/>
      <c r="D16" s="146"/>
      <c r="E16" s="147"/>
      <c r="F16" s="143"/>
      <c r="G16" s="147"/>
      <c r="H16" s="148"/>
      <c r="I16" s="155"/>
    </row>
    <row r="17" spans="1:9">
      <c r="A17" s="138"/>
      <c r="B17" s="144"/>
      <c r="C17" s="157"/>
      <c r="D17" s="146"/>
      <c r="E17" s="147"/>
      <c r="F17" s="143"/>
      <c r="G17" s="147"/>
      <c r="H17" s="148"/>
      <c r="I17" s="149"/>
    </row>
    <row r="18" spans="1:9">
      <c r="A18" s="138"/>
      <c r="B18" s="144"/>
      <c r="C18" s="157"/>
      <c r="D18" s="158"/>
      <c r="E18" s="147"/>
      <c r="F18" s="159"/>
      <c r="G18" s="147"/>
    </row>
    <row r="19" spans="1:9">
      <c r="A19" s="138"/>
      <c r="B19" s="144"/>
      <c r="C19" s="157"/>
      <c r="D19" s="160"/>
      <c r="E19" s="147"/>
      <c r="F19" s="159"/>
      <c r="G19" s="147"/>
    </row>
    <row r="29" spans="1:9">
      <c r="D29" s="161"/>
    </row>
    <row r="30" spans="1:9" ht="85">
      <c r="D30" s="162" t="s">
        <v>92</v>
      </c>
    </row>
    <row r="31" spans="1:9">
      <c r="D31" s="161"/>
    </row>
    <row r="32" spans="1:9">
      <c r="D32" s="161"/>
    </row>
    <row r="33" spans="4:4">
      <c r="D33" s="161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1">
    <dataValidation type="list" allowBlank="1" showErrorMessage="1" sqref="F1:F3 F7:F144" xr:uid="{0926D9D0-1AE7-204E-AFDC-71D73AD07237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31288-1135-FA43-BA31-A098B66B5034}">
  <dimension ref="A1:K17"/>
  <sheetViews>
    <sheetView zoomScale="109" workbookViewId="0">
      <pane ySplit="8" topLeftCell="A9" activePane="bottomLeft" state="frozen"/>
      <selection pane="bottomLeft" activeCell="D21" sqref="D21"/>
    </sheetView>
  </sheetViews>
  <sheetFormatPr baseColWidth="10" defaultColWidth="9" defaultRowHeight="16"/>
  <cols>
    <col min="1" max="1" width="16.1640625" style="142" bestFit="1" customWidth="1"/>
    <col min="2" max="2" width="20" style="142" bestFit="1" customWidth="1"/>
    <col min="3" max="3" width="30.6640625" style="142" bestFit="1" customWidth="1"/>
    <col min="4" max="4" width="38.1640625" style="142" bestFit="1" customWidth="1"/>
    <col min="5" max="5" width="49.33203125" style="142" bestFit="1" customWidth="1"/>
    <col min="6" max="6" width="7.1640625" style="142" customWidth="1"/>
    <col min="7" max="7" width="9" style="142"/>
    <col min="8" max="8" width="17.6640625" style="142" customWidth="1"/>
    <col min="9" max="9" width="8.1640625" style="151" customWidth="1"/>
    <col min="10" max="10" width="0" style="142" hidden="1" customWidth="1"/>
    <col min="11" max="16384" width="9" style="142"/>
  </cols>
  <sheetData>
    <row r="1" spans="1:11" s="124" customFormat="1">
      <c r="A1" s="118"/>
      <c r="B1" s="119"/>
      <c r="C1" s="119"/>
      <c r="D1" s="119"/>
      <c r="E1" s="119"/>
      <c r="F1" s="120"/>
      <c r="G1" s="121"/>
      <c r="H1" s="122"/>
      <c r="I1" s="123"/>
    </row>
    <row r="2" spans="1:11" s="124" customFormat="1" ht="15" customHeight="1">
      <c r="A2" s="125"/>
      <c r="B2" s="209"/>
      <c r="C2" s="209"/>
      <c r="D2" s="209"/>
      <c r="E2" s="209"/>
      <c r="F2" s="209"/>
      <c r="G2" s="122"/>
      <c r="H2" s="122"/>
      <c r="I2" s="123"/>
      <c r="J2" s="124" t="s">
        <v>26</v>
      </c>
    </row>
    <row r="3" spans="1:11" s="124" customFormat="1" ht="25.5" customHeight="1">
      <c r="A3" s="126"/>
      <c r="B3" s="209"/>
      <c r="C3" s="209"/>
      <c r="D3" s="209"/>
      <c r="E3" s="209"/>
      <c r="F3" s="209"/>
      <c r="G3" s="122"/>
      <c r="H3" s="122"/>
      <c r="I3" s="123"/>
      <c r="J3" s="124" t="s">
        <v>27</v>
      </c>
    </row>
    <row r="4" spans="1:11" s="124" customFormat="1" ht="18" customHeight="1">
      <c r="A4" s="125"/>
      <c r="B4" s="210"/>
      <c r="C4" s="210"/>
      <c r="D4" s="210"/>
      <c r="E4" s="210"/>
      <c r="F4" s="210"/>
      <c r="G4" s="122"/>
      <c r="H4" s="122"/>
      <c r="I4" s="123"/>
      <c r="J4" s="127"/>
    </row>
    <row r="5" spans="1:11" s="124" customFormat="1" ht="19.5" customHeight="1">
      <c r="A5" s="128"/>
      <c r="B5" s="129"/>
      <c r="C5" s="129"/>
      <c r="D5" s="130"/>
      <c r="E5" s="211"/>
      <c r="F5" s="211"/>
      <c r="G5" s="131"/>
      <c r="H5" s="131"/>
      <c r="I5" s="132"/>
      <c r="J5" s="124" t="s">
        <v>30</v>
      </c>
    </row>
    <row r="6" spans="1:11" s="124" customFormat="1" ht="15" customHeight="1">
      <c r="A6" s="163"/>
      <c r="B6" s="134"/>
      <c r="C6" s="134"/>
      <c r="D6" s="135"/>
      <c r="E6" s="208"/>
      <c r="F6" s="208"/>
      <c r="G6" s="131"/>
      <c r="H6" s="131"/>
      <c r="I6" s="132"/>
      <c r="J6" s="124" t="s">
        <v>29</v>
      </c>
    </row>
    <row r="7" spans="1:11" s="124" customFormat="1" ht="15" customHeight="1">
      <c r="D7" s="136"/>
      <c r="E7" s="136"/>
      <c r="F7" s="136"/>
      <c r="G7" s="136"/>
      <c r="H7" s="136"/>
      <c r="I7" s="132"/>
    </row>
    <row r="8" spans="1:11" s="124" customFormat="1" ht="25.5" customHeight="1">
      <c r="A8" s="164" t="s">
        <v>31</v>
      </c>
      <c r="B8" s="164" t="s">
        <v>85</v>
      </c>
      <c r="C8" s="164" t="s">
        <v>88</v>
      </c>
      <c r="D8" s="164" t="s">
        <v>89</v>
      </c>
      <c r="E8" s="165" t="s">
        <v>90</v>
      </c>
      <c r="F8" s="165" t="s">
        <v>32</v>
      </c>
      <c r="G8" s="165" t="s">
        <v>33</v>
      </c>
      <c r="H8" s="164" t="s">
        <v>34</v>
      </c>
      <c r="I8" s="137"/>
    </row>
    <row r="9" spans="1:11" s="124" customFormat="1" ht="15.75" customHeight="1">
      <c r="A9" s="166"/>
      <c r="B9" s="166"/>
      <c r="C9" s="167"/>
      <c r="D9" s="167"/>
      <c r="E9" s="167"/>
      <c r="F9" s="167"/>
      <c r="G9" s="167"/>
      <c r="H9" s="168"/>
      <c r="I9" s="169"/>
    </row>
    <row r="10" spans="1:11" s="141" customFormat="1" ht="121" customHeight="1">
      <c r="A10" s="104" t="s">
        <v>99</v>
      </c>
      <c r="B10" s="104" t="s">
        <v>100</v>
      </c>
      <c r="C10" s="104" t="s">
        <v>101</v>
      </c>
      <c r="D10" s="107" t="s">
        <v>133</v>
      </c>
      <c r="E10" s="104" t="s">
        <v>134</v>
      </c>
      <c r="F10" s="104"/>
      <c r="G10" s="104"/>
      <c r="H10" s="104"/>
      <c r="I10" s="140"/>
      <c r="J10" s="140"/>
    </row>
    <row r="11" spans="1:11">
      <c r="A11" s="104" t="s">
        <v>102</v>
      </c>
      <c r="B11" s="104" t="s">
        <v>100</v>
      </c>
      <c r="C11" s="104" t="s">
        <v>103</v>
      </c>
      <c r="D11" s="104" t="s">
        <v>135</v>
      </c>
      <c r="E11" s="104" t="s">
        <v>136</v>
      </c>
      <c r="F11" s="104"/>
      <c r="G11" s="104"/>
      <c r="H11" s="104"/>
      <c r="I11" s="140"/>
      <c r="J11" s="140"/>
    </row>
    <row r="12" spans="1:11" ht="34">
      <c r="A12" s="104" t="s">
        <v>104</v>
      </c>
      <c r="B12" s="104" t="s">
        <v>105</v>
      </c>
      <c r="C12" s="104" t="s">
        <v>106</v>
      </c>
      <c r="D12" s="107" t="s">
        <v>137</v>
      </c>
      <c r="E12" s="104" t="s">
        <v>138</v>
      </c>
      <c r="F12" s="104"/>
      <c r="G12" s="104"/>
      <c r="H12" s="104"/>
      <c r="I12" s="140"/>
      <c r="J12" s="140"/>
    </row>
    <row r="13" spans="1:11" s="124" customFormat="1" ht="51">
      <c r="A13" s="104" t="s">
        <v>107</v>
      </c>
      <c r="B13" s="104" t="s">
        <v>108</v>
      </c>
      <c r="C13" s="104" t="s">
        <v>139</v>
      </c>
      <c r="D13" s="107" t="s">
        <v>140</v>
      </c>
      <c r="E13" s="104" t="s">
        <v>141</v>
      </c>
      <c r="F13" s="104"/>
      <c r="G13" s="104"/>
      <c r="H13" s="104"/>
      <c r="I13" s="140"/>
      <c r="J13" s="140"/>
    </row>
    <row r="14" spans="1:11">
      <c r="A14" s="115"/>
      <c r="B14" s="106"/>
      <c r="C14" s="106"/>
      <c r="D14" s="106"/>
      <c r="E14" s="106"/>
      <c r="F14" s="106"/>
      <c r="G14" s="106"/>
      <c r="H14" s="116"/>
      <c r="I14" s="149"/>
    </row>
    <row r="15" spans="1:11">
      <c r="A15" s="106"/>
      <c r="B15" s="106"/>
      <c r="C15" s="106"/>
      <c r="D15" s="106"/>
      <c r="E15" s="106"/>
      <c r="F15" s="117"/>
      <c r="G15" s="117"/>
      <c r="H15" s="117"/>
    </row>
    <row r="16" spans="1:11">
      <c r="F16" s="154"/>
      <c r="I16" s="169"/>
      <c r="J16" s="124"/>
      <c r="K16" s="124"/>
    </row>
    <row r="17" spans="6:9">
      <c r="F17" s="170"/>
      <c r="I17" s="149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1">
    <dataValidation type="list" allowBlank="1" showErrorMessage="1" sqref="F1:F3 F7:F144" xr:uid="{244364E1-8292-B946-885E-05FD1E349DEA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3EDBE-B62B-A64E-ADB6-983CCDC8C430}">
  <dimension ref="A1:J18"/>
  <sheetViews>
    <sheetView workbookViewId="0">
      <pane ySplit="8" topLeftCell="A9" activePane="bottomLeft" state="frozen"/>
      <selection pane="bottomLeft" activeCell="A11" sqref="A11"/>
    </sheetView>
  </sheetViews>
  <sheetFormatPr baseColWidth="10" defaultColWidth="9" defaultRowHeight="13"/>
  <cols>
    <col min="1" max="1" width="11.83203125" style="8" customWidth="1"/>
    <col min="2" max="2" width="19.1640625" style="8" customWidth="1"/>
    <col min="3" max="3" width="32.1640625" style="8" customWidth="1"/>
    <col min="4" max="4" width="28.5" style="8" customWidth="1"/>
    <col min="5" max="5" width="15" style="8" customWidth="1"/>
    <col min="6" max="6" width="7.1640625" style="8" customWidth="1"/>
    <col min="7" max="7" width="11.83203125" style="8" customWidth="1"/>
    <col min="8" max="8" width="31.83203125" style="8" customWidth="1"/>
    <col min="9" max="9" width="8.1640625" style="57" customWidth="1"/>
    <col min="10" max="10" width="0" style="8" hidden="1" customWidth="1"/>
    <col min="11" max="16384" width="9" style="8"/>
  </cols>
  <sheetData>
    <row r="1" spans="1:10" s="60" customFormat="1">
      <c r="B1" s="108"/>
      <c r="C1" s="108"/>
      <c r="D1" s="108"/>
      <c r="E1" s="108"/>
      <c r="F1" s="38"/>
      <c r="G1" s="58"/>
      <c r="H1" s="38"/>
      <c r="I1" s="59"/>
    </row>
    <row r="2" spans="1:10" s="60" customFormat="1" ht="15" customHeight="1">
      <c r="A2" s="109"/>
      <c r="B2" s="212"/>
      <c r="C2" s="212"/>
      <c r="D2" s="212"/>
      <c r="E2" s="212"/>
      <c r="F2" s="212"/>
      <c r="G2" s="110"/>
      <c r="H2" s="38"/>
      <c r="I2" s="59"/>
      <c r="J2" s="60" t="s">
        <v>26</v>
      </c>
    </row>
    <row r="3" spans="1:10" s="60" customFormat="1" ht="25.5" customHeight="1">
      <c r="A3" s="109"/>
      <c r="B3" s="212"/>
      <c r="C3" s="212"/>
      <c r="D3" s="212"/>
      <c r="E3" s="212"/>
      <c r="F3" s="212"/>
      <c r="G3" s="110"/>
      <c r="H3" s="38"/>
      <c r="I3" s="59"/>
      <c r="J3" s="60" t="s">
        <v>27</v>
      </c>
    </row>
    <row r="4" spans="1:10" s="60" customFormat="1" ht="18" customHeight="1">
      <c r="A4" s="109"/>
      <c r="B4" s="212"/>
      <c r="C4" s="212"/>
      <c r="D4" s="212"/>
      <c r="E4" s="212"/>
      <c r="F4" s="212"/>
      <c r="G4" s="110"/>
      <c r="H4" s="38"/>
      <c r="I4" s="59"/>
      <c r="J4" s="61"/>
    </row>
    <row r="5" spans="1:10" s="60" customFormat="1" ht="19.5" customHeight="1">
      <c r="A5" s="111"/>
      <c r="B5" s="112"/>
      <c r="C5" s="112"/>
      <c r="D5" s="112"/>
      <c r="E5" s="213"/>
      <c r="F5" s="213"/>
      <c r="G5" s="113"/>
      <c r="H5" s="62"/>
      <c r="I5" s="63"/>
      <c r="J5" s="60" t="s">
        <v>30</v>
      </c>
    </row>
    <row r="6" spans="1:10" s="60" customFormat="1" ht="15" customHeight="1">
      <c r="A6" s="114"/>
      <c r="B6" s="114"/>
      <c r="C6" s="114"/>
      <c r="D6" s="114"/>
      <c r="E6" s="214"/>
      <c r="F6" s="214"/>
      <c r="G6" s="113"/>
      <c r="H6" s="62"/>
      <c r="I6" s="63"/>
      <c r="J6" s="60" t="s">
        <v>29</v>
      </c>
    </row>
    <row r="7" spans="1:10" s="60" customFormat="1" ht="15" customHeight="1">
      <c r="D7" s="64"/>
      <c r="E7" s="64"/>
      <c r="F7" s="62"/>
      <c r="G7" s="62"/>
      <c r="H7" s="62"/>
      <c r="I7" s="63"/>
    </row>
    <row r="8" spans="1:10" s="60" customFormat="1" ht="25.5" customHeight="1">
      <c r="A8" s="65" t="s">
        <v>31</v>
      </c>
      <c r="B8" s="65" t="s">
        <v>85</v>
      </c>
      <c r="C8" s="65" t="s">
        <v>88</v>
      </c>
      <c r="D8" s="65" t="s">
        <v>89</v>
      </c>
      <c r="E8" s="66" t="s">
        <v>90</v>
      </c>
      <c r="F8" s="66" t="s">
        <v>32</v>
      </c>
      <c r="G8" s="66" t="s">
        <v>33</v>
      </c>
      <c r="H8" s="65" t="s">
        <v>34</v>
      </c>
      <c r="I8" s="67"/>
    </row>
    <row r="9" spans="1:10" s="70" customFormat="1" ht="85.5" customHeight="1">
      <c r="A9" s="138" t="s">
        <v>109</v>
      </c>
      <c r="B9" s="138" t="s">
        <v>111</v>
      </c>
      <c r="C9" s="138" t="s">
        <v>113</v>
      </c>
      <c r="D9" s="138" t="s">
        <v>142</v>
      </c>
      <c r="E9" s="138" t="s">
        <v>143</v>
      </c>
      <c r="F9" s="138"/>
      <c r="G9" s="138"/>
      <c r="H9" s="138"/>
      <c r="I9"/>
      <c r="J9"/>
    </row>
    <row r="10" spans="1:10" s="70" customFormat="1" ht="85.5" customHeight="1">
      <c r="A10" s="138" t="s">
        <v>154</v>
      </c>
      <c r="B10" s="138" t="s">
        <v>112</v>
      </c>
      <c r="C10" s="138" t="s">
        <v>114</v>
      </c>
      <c r="D10" s="138" t="s">
        <v>144</v>
      </c>
      <c r="E10" s="138" t="s">
        <v>145</v>
      </c>
      <c r="F10" s="138"/>
      <c r="G10" s="138"/>
      <c r="H10" s="138"/>
      <c r="I10"/>
      <c r="J10"/>
    </row>
    <row r="11" spans="1:10" ht="14">
      <c r="A11" s="171"/>
      <c r="B11" s="171"/>
      <c r="C11" s="171"/>
      <c r="D11" s="171"/>
      <c r="E11" s="171"/>
      <c r="F11" s="171"/>
      <c r="G11" s="171"/>
      <c r="H11" s="171"/>
      <c r="I11"/>
      <c r="J11"/>
    </row>
    <row r="12" spans="1:10">
      <c r="A12" s="172"/>
      <c r="B12" s="172"/>
      <c r="C12" s="172"/>
      <c r="D12" s="173"/>
      <c r="E12" s="173"/>
      <c r="F12" s="172"/>
      <c r="G12" s="172"/>
      <c r="H12" s="174"/>
      <c r="I12" s="69"/>
    </row>
    <row r="13" spans="1:10" s="60" customFormat="1" ht="15.75" customHeight="1">
      <c r="A13" s="175"/>
      <c r="B13" s="175"/>
      <c r="C13" s="175"/>
      <c r="D13" s="175"/>
      <c r="E13" s="175"/>
      <c r="F13" s="175"/>
      <c r="G13" s="175"/>
      <c r="H13" s="175"/>
      <c r="I13" s="68"/>
    </row>
    <row r="14" spans="1:10">
      <c r="A14" s="172"/>
      <c r="B14" s="172"/>
      <c r="C14" s="172"/>
      <c r="D14" s="172"/>
      <c r="E14" s="172"/>
      <c r="F14" s="172"/>
      <c r="G14" s="172"/>
      <c r="H14" s="174"/>
      <c r="I14" s="69"/>
    </row>
    <row r="15" spans="1:10">
      <c r="A15" s="172"/>
      <c r="B15" s="172"/>
      <c r="C15" s="172"/>
      <c r="D15" s="172"/>
      <c r="E15" s="172"/>
      <c r="F15" s="172"/>
      <c r="G15" s="176"/>
      <c r="H15" s="176"/>
    </row>
    <row r="16" spans="1:10" s="60" customFormat="1" ht="15.75" customHeight="1">
      <c r="A16" s="175"/>
      <c r="B16" s="175"/>
      <c r="C16" s="175"/>
      <c r="D16" s="175"/>
      <c r="E16" s="175"/>
      <c r="F16" s="175"/>
      <c r="G16" s="175"/>
      <c r="H16" s="175"/>
      <c r="I16" s="68"/>
    </row>
    <row r="17" spans="1:9">
      <c r="A17" s="172"/>
      <c r="B17" s="172"/>
      <c r="C17" s="172"/>
      <c r="D17" s="172"/>
      <c r="E17" s="172"/>
      <c r="F17" s="172"/>
      <c r="G17" s="172"/>
      <c r="H17" s="174"/>
      <c r="I17" s="69"/>
    </row>
    <row r="18" spans="1:9">
      <c r="A18" s="176"/>
      <c r="B18" s="176"/>
      <c r="C18" s="176"/>
      <c r="D18" s="176"/>
      <c r="E18" s="176"/>
      <c r="F18" s="176"/>
      <c r="G18" s="176"/>
      <c r="H18" s="176"/>
    </row>
  </sheetData>
  <mergeCells count="5">
    <mergeCell ref="B2:F2"/>
    <mergeCell ref="B3:F3"/>
    <mergeCell ref="B4:F4"/>
    <mergeCell ref="E5:F5"/>
    <mergeCell ref="E6:F6"/>
  </mergeCells>
  <dataValidations count="1">
    <dataValidation type="list" allowBlank="1" showErrorMessage="1" sqref="F1:F3 F7:F145" xr:uid="{FF2EA11B-1EE0-EC40-9391-63EEB3CA1301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C5F77-0338-9646-BD39-9132227AEECC}">
  <dimension ref="A1:J18"/>
  <sheetViews>
    <sheetView tabSelected="1" workbookViewId="0">
      <selection activeCell="A14" sqref="A14"/>
    </sheetView>
  </sheetViews>
  <sheetFormatPr baseColWidth="10" defaultRowHeight="16"/>
  <cols>
    <col min="1" max="1" width="10.6640625" style="138" bestFit="1" customWidth="1"/>
    <col min="2" max="2" width="13.83203125" style="138" bestFit="1" customWidth="1"/>
    <col min="3" max="3" width="36.5" style="138" bestFit="1" customWidth="1"/>
    <col min="4" max="4" width="37.1640625" style="138" customWidth="1"/>
    <col min="5" max="5" width="46.83203125" style="138" bestFit="1" customWidth="1"/>
    <col min="6" max="6" width="6.33203125" style="138" bestFit="1" customWidth="1"/>
    <col min="7" max="7" width="8.83203125" style="138" bestFit="1" customWidth="1"/>
    <col min="8" max="8" width="5.1640625" style="138" bestFit="1" customWidth="1"/>
    <col min="9" max="16384" width="10.83203125" style="138"/>
  </cols>
  <sheetData>
    <row r="1" spans="1:10">
      <c r="A1" s="104"/>
      <c r="B1" s="104"/>
      <c r="C1" s="104"/>
      <c r="D1" s="104"/>
      <c r="E1" s="104"/>
      <c r="F1" s="104"/>
      <c r="G1" s="104"/>
      <c r="H1" s="104"/>
      <c r="I1" s="104"/>
      <c r="J1" s="104"/>
    </row>
    <row r="2" spans="1:10">
      <c r="A2" s="190"/>
      <c r="B2" s="116"/>
      <c r="C2" s="116"/>
      <c r="D2" s="116"/>
      <c r="E2" s="116"/>
      <c r="F2" s="105"/>
      <c r="G2" s="191"/>
      <c r="H2" s="105"/>
      <c r="I2" s="104"/>
      <c r="J2" s="104"/>
    </row>
    <row r="3" spans="1:10">
      <c r="A3" s="192"/>
      <c r="B3" s="215"/>
      <c r="C3" s="215"/>
      <c r="D3" s="215"/>
      <c r="E3" s="215"/>
      <c r="F3" s="215"/>
      <c r="G3" s="193"/>
      <c r="H3" s="193"/>
      <c r="I3" s="194"/>
      <c r="J3" s="104"/>
    </row>
    <row r="4" spans="1:10">
      <c r="A4" s="192"/>
      <c r="B4" s="215"/>
      <c r="C4" s="215"/>
      <c r="D4" s="215"/>
      <c r="E4" s="215"/>
      <c r="F4" s="215"/>
      <c r="G4" s="193"/>
      <c r="H4" s="193"/>
      <c r="I4" s="194"/>
      <c r="J4" s="104"/>
    </row>
    <row r="5" spans="1:10">
      <c r="A5" s="192"/>
      <c r="B5" s="215"/>
      <c r="C5" s="215"/>
      <c r="D5" s="215"/>
      <c r="E5" s="215"/>
      <c r="F5" s="215"/>
      <c r="G5" s="193"/>
      <c r="H5" s="193"/>
      <c r="I5" s="194"/>
      <c r="J5" s="104"/>
    </row>
    <row r="6" spans="1:10">
      <c r="A6" s="177"/>
      <c r="B6" s="178"/>
      <c r="C6" s="178"/>
      <c r="D6" s="178"/>
      <c r="E6" s="216"/>
      <c r="F6" s="216"/>
      <c r="G6" s="193"/>
      <c r="H6" s="193"/>
      <c r="I6" s="194"/>
      <c r="J6" s="104"/>
    </row>
    <row r="7" spans="1:10">
      <c r="A7" s="179"/>
      <c r="B7" s="179"/>
      <c r="C7" s="179"/>
      <c r="D7" s="179"/>
      <c r="E7" s="217"/>
      <c r="F7" s="217"/>
      <c r="G7" s="193"/>
      <c r="H7" s="193"/>
      <c r="I7" s="194"/>
      <c r="J7" s="104"/>
    </row>
    <row r="8" spans="1:10">
      <c r="A8" s="190"/>
      <c r="B8" s="190"/>
      <c r="C8" s="190"/>
      <c r="D8" s="116"/>
      <c r="E8" s="116"/>
      <c r="F8" s="116"/>
      <c r="G8" s="116"/>
      <c r="H8" s="116"/>
      <c r="I8" s="104"/>
      <c r="J8" s="104"/>
    </row>
    <row r="9" spans="1:10" ht="34">
      <c r="A9" s="180" t="s">
        <v>31</v>
      </c>
      <c r="B9" s="180" t="s">
        <v>85</v>
      </c>
      <c r="C9" s="180" t="s">
        <v>88</v>
      </c>
      <c r="D9" s="180" t="s">
        <v>89</v>
      </c>
      <c r="E9" s="181" t="s">
        <v>90</v>
      </c>
      <c r="F9" s="181" t="s">
        <v>32</v>
      </c>
      <c r="G9" s="181" t="s">
        <v>33</v>
      </c>
      <c r="H9" s="180" t="s">
        <v>34</v>
      </c>
    </row>
    <row r="10" spans="1:10">
      <c r="A10" s="182"/>
      <c r="B10" s="182"/>
      <c r="C10" s="183"/>
      <c r="D10" s="183"/>
      <c r="E10" s="183"/>
      <c r="F10" s="183"/>
      <c r="G10" s="183"/>
      <c r="H10" s="184"/>
    </row>
    <row r="11" spans="1:10" ht="34">
      <c r="A11" s="138" t="s">
        <v>155</v>
      </c>
      <c r="B11" s="138" t="s">
        <v>117</v>
      </c>
      <c r="C11" s="138" t="s">
        <v>146</v>
      </c>
      <c r="D11" s="139" t="s">
        <v>147</v>
      </c>
      <c r="E11" s="138" t="s">
        <v>148</v>
      </c>
    </row>
    <row r="12" spans="1:10" ht="34">
      <c r="A12" s="138" t="s">
        <v>110</v>
      </c>
      <c r="B12" s="138" t="s">
        <v>118</v>
      </c>
      <c r="C12" s="138" t="s">
        <v>149</v>
      </c>
      <c r="D12" s="139" t="s">
        <v>150</v>
      </c>
      <c r="E12" s="138" t="s">
        <v>151</v>
      </c>
    </row>
    <row r="13" spans="1:10">
      <c r="A13" s="138" t="s">
        <v>116</v>
      </c>
      <c r="B13" s="138" t="s">
        <v>119</v>
      </c>
      <c r="C13" s="138" t="s">
        <v>120</v>
      </c>
      <c r="D13" s="138" t="s">
        <v>152</v>
      </c>
      <c r="E13" s="138" t="s">
        <v>153</v>
      </c>
    </row>
    <row r="14" spans="1:10">
      <c r="A14" s="185"/>
      <c r="B14" s="186"/>
      <c r="C14" s="186"/>
      <c r="D14" s="187"/>
      <c r="E14" s="186"/>
      <c r="F14" s="188"/>
      <c r="G14" s="188"/>
      <c r="H14" s="188"/>
    </row>
    <row r="15" spans="1:10">
      <c r="A15" s="195"/>
      <c r="B15" s="196"/>
      <c r="C15" s="196"/>
      <c r="D15" s="196"/>
      <c r="E15" s="196"/>
      <c r="F15" s="196"/>
      <c r="G15" s="196"/>
      <c r="H15" s="197"/>
    </row>
    <row r="16" spans="1:10">
      <c r="A16" s="198"/>
      <c r="B16" s="198"/>
      <c r="C16" s="198"/>
      <c r="D16" s="198"/>
      <c r="E16" s="198"/>
      <c r="F16" s="199"/>
      <c r="G16" s="199"/>
      <c r="H16" s="199"/>
    </row>
    <row r="17" spans="1:8">
      <c r="A17" s="159"/>
      <c r="B17" s="159"/>
      <c r="C17" s="159"/>
      <c r="D17" s="159"/>
      <c r="E17" s="159"/>
      <c r="F17" s="189"/>
      <c r="G17" s="159"/>
      <c r="H17" s="159"/>
    </row>
    <row r="18" spans="1:8">
      <c r="A18" s="159"/>
      <c r="B18" s="159"/>
      <c r="C18" s="159"/>
      <c r="D18" s="159"/>
      <c r="E18" s="159"/>
      <c r="F18" s="143"/>
      <c r="G18" s="159"/>
      <c r="H18" s="159"/>
    </row>
  </sheetData>
  <mergeCells count="5">
    <mergeCell ref="B3:F3"/>
    <mergeCell ref="B4:F4"/>
    <mergeCell ref="B5:F5"/>
    <mergeCell ref="E6:F6"/>
    <mergeCell ref="E7:F7"/>
  </mergeCells>
  <dataValidations count="1">
    <dataValidation type="list" allowBlank="1" showErrorMessage="1" sqref="F2:F4 F8:F18" xr:uid="{554640DE-54C6-7347-B351-8BDE9FBBDA06}">
      <formula1>$J$2:$J$6</formula1>
      <formula2>0</formula2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6199-8AF6-B940-8B43-002AEC695EDA}">
  <dimension ref="A1:H18"/>
  <sheetViews>
    <sheetView workbookViewId="0">
      <selection activeCell="I34" sqref="I34"/>
    </sheetView>
  </sheetViews>
  <sheetFormatPr baseColWidth="10" defaultColWidth="9" defaultRowHeight="13"/>
  <cols>
    <col min="1" max="1" width="9" style="8"/>
    <col min="2" max="2" width="13.5" style="8" customWidth="1"/>
    <col min="3" max="3" width="19.33203125" style="8" customWidth="1"/>
    <col min="4" max="7" width="9" style="8"/>
    <col min="8" max="9" width="33.1640625" style="8" customWidth="1"/>
    <col min="10" max="16384" width="9" style="8"/>
  </cols>
  <sheetData>
    <row r="1" spans="1:8" ht="25.5" customHeight="1">
      <c r="B1" s="220" t="s">
        <v>35</v>
      </c>
      <c r="C1" s="220"/>
      <c r="D1" s="220"/>
      <c r="E1" s="220"/>
      <c r="F1" s="220"/>
      <c r="G1" s="220"/>
      <c r="H1" s="220"/>
    </row>
    <row r="2" spans="1:8" ht="14.25" customHeight="1">
      <c r="A2" s="71"/>
      <c r="B2" s="71"/>
      <c r="C2" s="72"/>
      <c r="D2" s="72"/>
      <c r="E2" s="72"/>
      <c r="F2" s="72"/>
      <c r="G2" s="72"/>
      <c r="H2" s="73"/>
    </row>
    <row r="3" spans="1:8" ht="12" customHeight="1">
      <c r="B3" s="11" t="s">
        <v>1</v>
      </c>
      <c r="C3" s="207" t="s">
        <v>2</v>
      </c>
      <c r="D3" s="207"/>
      <c r="E3" s="218" t="s">
        <v>3</v>
      </c>
      <c r="F3" s="218"/>
      <c r="G3" s="74"/>
      <c r="H3" s="75"/>
    </row>
    <row r="4" spans="1:8" ht="12" customHeight="1">
      <c r="B4" s="11" t="s">
        <v>4</v>
      </c>
      <c r="C4" s="207" t="s">
        <v>5</v>
      </c>
      <c r="D4" s="207"/>
      <c r="E4" s="218" t="s">
        <v>6</v>
      </c>
      <c r="F4" s="218"/>
      <c r="G4" s="74"/>
      <c r="H4" s="75"/>
    </row>
    <row r="5" spans="1:8" ht="12" customHeight="1">
      <c r="B5" s="76" t="s">
        <v>7</v>
      </c>
      <c r="C5" s="207" t="str">
        <f>C4&amp;"_"&amp;"Test Report"&amp;"_"&amp;"vx.x"</f>
        <v>&lt;Project Code&gt;_Test Report_vx.x</v>
      </c>
      <c r="D5" s="207"/>
      <c r="E5" s="218" t="s">
        <v>8</v>
      </c>
      <c r="F5" s="218"/>
      <c r="G5" s="74"/>
      <c r="H5" s="77" t="s">
        <v>36</v>
      </c>
    </row>
    <row r="6" spans="1:8" ht="21.75" customHeight="1">
      <c r="A6" s="71"/>
      <c r="B6" s="76" t="s">
        <v>37</v>
      </c>
      <c r="C6" s="219" t="s">
        <v>38</v>
      </c>
      <c r="D6" s="219"/>
      <c r="E6" s="219"/>
      <c r="F6" s="219"/>
      <c r="G6" s="219"/>
      <c r="H6" s="219"/>
    </row>
    <row r="7" spans="1:8" ht="14.25" customHeight="1">
      <c r="A7" s="71"/>
      <c r="B7" s="13"/>
      <c r="C7" s="78"/>
      <c r="D7" s="72"/>
      <c r="E7" s="72"/>
      <c r="F7" s="72"/>
      <c r="G7" s="72"/>
      <c r="H7" s="73"/>
    </row>
    <row r="8" spans="1:8">
      <c r="B8" s="13"/>
      <c r="C8" s="78"/>
      <c r="D8" s="72"/>
      <c r="E8" s="72"/>
      <c r="F8" s="72"/>
      <c r="G8" s="72"/>
      <c r="H8" s="73"/>
    </row>
    <row r="10" spans="1:8" ht="14">
      <c r="A10" s="79"/>
      <c r="B10" s="80" t="s">
        <v>20</v>
      </c>
      <c r="C10" s="81" t="s">
        <v>39</v>
      </c>
      <c r="D10" s="82" t="s">
        <v>26</v>
      </c>
      <c r="E10" s="81" t="s">
        <v>27</v>
      </c>
      <c r="F10" s="81" t="s">
        <v>28</v>
      </c>
      <c r="G10" s="83" t="s">
        <v>29</v>
      </c>
      <c r="H10" s="84" t="s">
        <v>40</v>
      </c>
    </row>
    <row r="11" spans="1:8">
      <c r="A11" s="79"/>
      <c r="B11" s="85">
        <v>1</v>
      </c>
      <c r="C11" s="86">
        <f>Module1!B2</f>
        <v>0</v>
      </c>
      <c r="D11" s="87">
        <f>Module1!A6</f>
        <v>0</v>
      </c>
      <c r="E11" s="87">
        <f>Module1!B6</f>
        <v>0</v>
      </c>
      <c r="F11" s="87">
        <f>Module1!C6</f>
        <v>0</v>
      </c>
      <c r="G11" s="88">
        <f>Module1!D6</f>
        <v>0</v>
      </c>
      <c r="H11" s="89">
        <f>Module1!E6</f>
        <v>0</v>
      </c>
    </row>
    <row r="12" spans="1:8">
      <c r="A12" s="79"/>
      <c r="B12" s="85">
        <v>2</v>
      </c>
      <c r="C12" s="86">
        <f>Module2!B2</f>
        <v>0</v>
      </c>
      <c r="D12" s="87">
        <f>Module2!A6</f>
        <v>0</v>
      </c>
      <c r="E12" s="87">
        <f>Module2!B6</f>
        <v>0</v>
      </c>
      <c r="F12" s="87">
        <f>Module2!C6</f>
        <v>0</v>
      </c>
      <c r="G12" s="88">
        <f>Module2!D6</f>
        <v>0</v>
      </c>
      <c r="H12" s="89">
        <f>Module2!E6</f>
        <v>0</v>
      </c>
    </row>
    <row r="13" spans="1:8">
      <c r="A13" s="79"/>
      <c r="B13" s="85">
        <v>3</v>
      </c>
      <c r="C13" s="86" t="s">
        <v>49</v>
      </c>
      <c r="D13" s="87"/>
      <c r="E13" s="87"/>
      <c r="F13" s="87"/>
      <c r="G13" s="88"/>
      <c r="H13" s="89"/>
    </row>
    <row r="14" spans="1:8">
      <c r="A14" s="79"/>
      <c r="B14" s="85">
        <v>4</v>
      </c>
      <c r="C14" s="86" t="s">
        <v>115</v>
      </c>
      <c r="D14" s="87"/>
      <c r="E14" s="87"/>
      <c r="F14" s="87"/>
      <c r="G14" s="88"/>
      <c r="H14" s="89"/>
    </row>
    <row r="15" spans="1:8">
      <c r="B15" s="90"/>
      <c r="C15" s="91" t="s">
        <v>41</v>
      </c>
      <c r="D15" s="92">
        <f>SUM(D9:D14)</f>
        <v>0</v>
      </c>
      <c r="E15" s="92">
        <f>SUM(E9:E14)</f>
        <v>0</v>
      </c>
      <c r="F15" s="92">
        <f>SUM(F9:F14)</f>
        <v>0</v>
      </c>
      <c r="G15" s="92">
        <f>SUM(G9:G14)</f>
        <v>0</v>
      </c>
      <c r="H15" s="93">
        <f>SUM(H9:H14)</f>
        <v>0</v>
      </c>
    </row>
    <row r="16" spans="1:8">
      <c r="B16" s="94"/>
      <c r="D16" s="95"/>
      <c r="E16" s="96"/>
      <c r="F16" s="96"/>
      <c r="G16" s="96"/>
      <c r="H16" s="96"/>
    </row>
    <row r="17" spans="3:8">
      <c r="C17" s="97" t="s">
        <v>42</v>
      </c>
      <c r="E17" s="98" t="e">
        <f>(D15+E15)*100/(H15-G15)</f>
        <v>#DIV/0!</v>
      </c>
      <c r="F17" s="8" t="s">
        <v>43</v>
      </c>
      <c r="H17" s="64"/>
    </row>
    <row r="18" spans="3:8">
      <c r="C18" s="97" t="s">
        <v>44</v>
      </c>
      <c r="E18" s="98" t="e">
        <f>D15*100/(H15-G15)</f>
        <v>#DIV/0!</v>
      </c>
      <c r="F18" s="8" t="s">
        <v>43</v>
      </c>
      <c r="H18" s="64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b08c537a49adf1f0264621696145d4e8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79edc66073723f43766a972d30b274e4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Props1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CAE63D-5380-40ED-A43E-1567E1C2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 case List</vt:lpstr>
      <vt:lpstr>TestDataModule1</vt:lpstr>
      <vt:lpstr>Module1</vt:lpstr>
      <vt:lpstr>Module2</vt:lpstr>
      <vt:lpstr>Module3</vt:lpstr>
      <vt:lpstr>Module4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Nguyễn Thanh Tịnh</cp:lastModifiedBy>
  <cp:lastPrinted>2010-11-12T10:33:20Z</cp:lastPrinted>
  <dcterms:created xsi:type="dcterms:W3CDTF">2011-06-02T09:10:50Z</dcterms:created>
  <dcterms:modified xsi:type="dcterms:W3CDTF">2025-12-14T17:15:22Z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</Properties>
</file>