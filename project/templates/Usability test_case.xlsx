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heckCompatibility="1"/>
  <mc:AlternateContent xmlns:mc="http://schemas.openxmlformats.org/markup-compatibility/2006">
    <mc:Choice Requires="x15">
      <x15ac:absPath xmlns:x15ac="http://schemas.microsoft.com/office/spreadsheetml/2010/11/ac" url="/Users/truongnhat/Desktop/Project-KTPM/project/templates/"/>
    </mc:Choice>
  </mc:AlternateContent>
  <xr:revisionPtr revIDLastSave="0" documentId="13_ncr:1_{119B37C4-15DA-8F46-AADA-DC52DFD072B2}" xr6:coauthVersionLast="47" xr6:coauthVersionMax="47" xr10:uidLastSave="{00000000-0000-0000-0000-000000000000}"/>
  <bookViews>
    <workbookView xWindow="0" yWindow="660" windowWidth="34560" windowHeight="20080" tabRatio="821" activeTab="5" xr2:uid="{54D1C333-A8F3-504F-8D67-28F9DF72E520}"/>
  </bookViews>
  <sheets>
    <sheet name="Cover" sheetId="1" r:id="rId1"/>
    <sheet name="Test case List" sheetId="2" r:id="rId2"/>
    <sheet name="Module1" sheetId="3" r:id="rId3"/>
    <sheet name="Module2" sheetId="4" r:id="rId4"/>
    <sheet name="Module3" sheetId="7" r:id="rId5"/>
    <sheet name="Module4" sheetId="9" r:id="rId6"/>
    <sheet name="TestData" sheetId="8" r:id="rId7"/>
    <sheet name="Test Report" sheetId="5" r:id="rId8"/>
  </sheets>
  <definedNames>
    <definedName name="_xlnm._FilterDatabase" localSheetId="2" hidden="1">Module1!$A$8:$H$8</definedName>
    <definedName name="_xlnm._FilterDatabase" localSheetId="3" hidden="1">Module2!#REF!</definedName>
    <definedName name="_xlnm._FilterDatabase" localSheetId="4" hidden="1">Module3!$A$7:$H$9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" l="1"/>
  <c r="F14" i="5"/>
  <c r="G14" i="5"/>
  <c r="H14" i="5"/>
  <c r="D14" i="5"/>
  <c r="E13" i="5"/>
  <c r="H13" i="5"/>
  <c r="D13" i="5"/>
  <c r="D5" i="9"/>
  <c r="A5" i="9"/>
  <c r="B5" i="9"/>
  <c r="D5" i="7"/>
  <c r="G13" i="5" s="1"/>
  <c r="B5" i="7"/>
  <c r="A5" i="7"/>
  <c r="D6" i="4"/>
  <c r="B6" i="4"/>
  <c r="A6" i="4"/>
  <c r="A6" i="3"/>
  <c r="D6" i="3"/>
  <c r="B6" i="3"/>
  <c r="C5" i="9" l="1"/>
  <c r="C5" i="7"/>
  <c r="F13" i="5" s="1"/>
  <c r="C6" i="4"/>
  <c r="C6" i="3"/>
  <c r="C11" i="5" l="1"/>
  <c r="D11" i="5"/>
  <c r="E11" i="5"/>
  <c r="F11" i="5"/>
  <c r="G11" i="5"/>
  <c r="H11" i="5"/>
  <c r="C12" i="5"/>
  <c r="D12" i="5"/>
  <c r="E12" i="5"/>
  <c r="F12" i="5"/>
  <c r="G12" i="5"/>
  <c r="H12" i="5"/>
  <c r="H15" i="5" l="1"/>
  <c r="C6" i="1"/>
  <c r="D3" i="2"/>
  <c r="D4" i="2"/>
  <c r="C5" i="5"/>
  <c r="E15" i="5" l="1"/>
  <c r="D15" i="5"/>
  <c r="G15" i="5"/>
  <c r="E17" i="5" l="1"/>
  <c r="F15" i="5"/>
  <c r="E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A2EFF0CB-5607-B541-A684-9B925F100C1E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sharedStrings.xml><?xml version="1.0" encoding="utf-8"?>
<sst xmlns="http://schemas.openxmlformats.org/spreadsheetml/2006/main" count="235" uniqueCount="110">
  <si>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</si>
  <si>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</si>
  <si>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</si>
  <si>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</si>
  <si>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</si>
  <si>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</si>
  <si>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</si>
  <si>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</si>
  <si>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</si>
  <si>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</si>
  <si>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</si>
  <si>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</si>
  <si>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</si>
  <si>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</si>
  <si>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</si>
  <si>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</si>
  <si>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</si>
  <si>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</si>
  <si>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</si>
  <si>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</si>
  <si>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</si>
  <si>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Sheet Name</t>
  </si>
  <si>
    <t>Description</t>
  </si>
  <si>
    <t>Pre-Condition</t>
  </si>
  <si>
    <t>Module1</t>
  </si>
  <si>
    <t>Module2</t>
  </si>
  <si>
    <t>Pass</t>
  </si>
  <si>
    <t>Fail</t>
  </si>
  <si>
    <t>Untested</t>
  </si>
  <si>
    <t>N/A</t>
  </si>
  <si>
    <t>Untesed</t>
  </si>
  <si>
    <t>ID</t>
  </si>
  <si>
    <t>Result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</si>
  <si>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</si>
  <si>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</si>
  <si>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</si>
  <si>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</si>
  <si>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</si>
  <si>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</si>
  <si>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</si>
  <si>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</si>
  <si>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</si>
  <si>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</si>
  <si>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</si>
  <si>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Login</t>
  </si>
  <si>
    <t>Module3</t>
  </si>
  <si>
    <t>User Authentication</t>
  </si>
  <si>
    <t>Sign Up</t>
  </si>
  <si>
    <t>TC-03</t>
  </si>
  <si>
    <t>TC-04</t>
  </si>
  <si>
    <t xml:space="preserve"> Menu Exploration And Selection</t>
  </si>
  <si>
    <t>Cart Management</t>
  </si>
  <si>
    <t>Checkout And Order Placement</t>
  </si>
  <si>
    <t>TC-05</t>
  </si>
  <si>
    <t>Explore Menu</t>
  </si>
  <si>
    <t>TC-06</t>
  </si>
  <si>
    <t>TC-07</t>
  </si>
  <si>
    <t>Add to Cart</t>
  </si>
  <si>
    <t>TC-08</t>
  </si>
  <si>
    <t>Quantity Adjust</t>
  </si>
  <si>
    <t>TC-09</t>
  </si>
  <si>
    <t>TC-12</t>
  </si>
  <si>
    <t>View Cart</t>
  </si>
  <si>
    <t>Proceed</t>
  </si>
  <si>
    <t>Module4</t>
  </si>
  <si>
    <t>TC-13</t>
  </si>
  <si>
    <t>Delivery Info</t>
  </si>
  <si>
    <t>Place Order</t>
  </si>
  <si>
    <t>My Orders</t>
  </si>
  <si>
    <t>Testcase Name</t>
  </si>
  <si>
    <t>TC-01</t>
  </si>
  <si>
    <t>1. Open the website.
2. Click the Sign In button.
3. Select Create a new account.
4. Enter valid name, email, password.
5. Click Create account.</t>
  </si>
  <si>
    <t>User is registered and redirected to homepage without errors.</t>
  </si>
  <si>
    <t>TC-02</t>
  </si>
  <si>
    <t>1. Open Sign In popup.
2. Switch to Sign Up.
3. Enter existing email.
4. Enter valid name and password.
5. Click Create account.</t>
  </si>
  <si>
    <t>Clear error message Email already exists is displayed.</t>
  </si>
  <si>
    <t>1. Click Sign In.
2. Enter valid email and password.
3. Click Login.</t>
  </si>
  <si>
    <t>User logs in successfully and profile icon replaces Sign In.</t>
  </si>
  <si>
    <t>1. Click Sign In.
2. Enter invalid email or password.
3. Click Login.</t>
  </si>
  <si>
    <t>Invalid credentials message is shown and user remains on login screen.</t>
  </si>
  <si>
    <t>1. Add items to cart.
2. Click cart icon.</t>
  </si>
  <si>
    <t>Cart shows correct items, quantities, prices, and total.</t>
  </si>
  <si>
    <t>1. Click Proceed to Checkout.</t>
  </si>
  <si>
    <t>User navigates to Place Order page.</t>
  </si>
  <si>
    <t>1. Leave a required field empty.
2. Attempt to proceed.</t>
  </si>
  <si>
    <t>System highlights missing field and blocks submission.</t>
  </si>
  <si>
    <t>1. Fill all delivery fields.
2. Click Proceed to Payment.</t>
  </si>
  <si>
    <t>Order placed and confirmation page displayed.</t>
  </si>
  <si>
    <t>1. Go to My Orders after ordering.</t>
  </si>
  <si>
    <t>New order appears with correct status.</t>
  </si>
  <si>
    <t>TC-10</t>
  </si>
  <si>
    <t>TC-11</t>
  </si>
  <si>
    <t>Test Case Description</t>
  </si>
  <si>
    <t>Pre-condition</t>
  </si>
  <si>
    <t>Test Case Procedure</t>
  </si>
  <si>
    <t>Expected Output</t>
  </si>
  <si>
    <t>Test data</t>
  </si>
  <si>
    <t>1. Browser is opened and URL is accessible.
2. The email address used for registration does not exist in the system.</t>
  </si>
  <si>
    <t>A registered account already exists in the database (e.g., existing_user@mail.com)</t>
  </si>
  <si>
    <t>TD1</t>
  </si>
  <si>
    <t>TD2</t>
  </si>
  <si>
    <t>TD3</t>
  </si>
  <si>
    <t>TD4</t>
  </si>
  <si>
    <t>TestData</t>
  </si>
  <si>
    <t>Module Code</t>
  </si>
  <si>
    <t xml:space="preserve">Module1 </t>
  </si>
  <si>
    <t>Test requirement</t>
  </si>
  <si>
    <t>&lt;Brief description about requirements which are tested in this sheet&gt;</t>
  </si>
  <si>
    <t>Tester</t>
  </si>
  <si>
    <t>Number of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</si>
</sst>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mm\-yy;@"/>
  </numFmts>
  <fonts count="26"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</fills>
  <borders count="3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19" fillId="0" borderId="0"/>
    <xf numFmtId="0" fontId="19" fillId="0" borderId="0"/>
    <xf numFmtId="0" fontId="1" fillId="0" borderId="0"/>
  </cellStyleXfs>
  <cellXfs count="1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2" fillId="2" borderId="0" xfId="0" applyFont="1" applyFill="1"/>
    <xf numFmtId="0" fontId="6" fillId="2" borderId="2" xfId="0" applyFont="1" applyFill="1" applyBorder="1" applyAlignment="1">
      <alignment horizontal="left"/>
    </xf>
    <xf numFmtId="0" fontId="2" fillId="0" borderId="3" xfId="0" applyFont="1" applyBorder="1"/>
    <xf numFmtId="0" fontId="6" fillId="2" borderId="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indent="1"/>
    </xf>
    <xf numFmtId="0" fontId="6" fillId="2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7" fillId="0" borderId="7" xfId="0" applyFont="1" applyBorder="1" applyAlignment="1">
      <alignment vertical="top" wrapText="1"/>
    </xf>
    <xf numFmtId="49" fontId="2" fillId="0" borderId="8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5" fontId="2" fillId="0" borderId="8" xfId="0" applyNumberFormat="1" applyFont="1" applyBorder="1" applyAlignment="1">
      <alignment vertical="top"/>
    </xf>
    <xf numFmtId="0" fontId="7" fillId="0" borderId="9" xfId="0" applyFont="1" applyBorder="1" applyAlignment="1">
      <alignment vertical="top" wrapText="1"/>
    </xf>
    <xf numFmtId="164" fontId="2" fillId="0" borderId="7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10" xfId="0" applyNumberFormat="1" applyFont="1" applyBorder="1" applyAlignment="1">
      <alignment vertical="top"/>
    </xf>
    <xf numFmtId="49" fontId="2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6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8" fillId="4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 vertical="center"/>
    </xf>
    <xf numFmtId="0" fontId="14" fillId="2" borderId="8" xfId="1" applyNumberFormat="1" applyFont="1" applyFill="1" applyBorder="1" applyAlignment="1" applyProtection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" fontId="2" fillId="2" borderId="10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16" fillId="2" borderId="0" xfId="0" applyFont="1" applyFill="1"/>
    <xf numFmtId="0" fontId="11" fillId="2" borderId="0" xfId="0" applyFont="1" applyFill="1"/>
    <xf numFmtId="0" fontId="2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3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6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0" xfId="2" applyFont="1" applyFill="1"/>
    <xf numFmtId="0" fontId="2" fillId="2" borderId="20" xfId="0" applyFont="1" applyFill="1" applyBorder="1"/>
    <xf numFmtId="0" fontId="8" fillId="3" borderId="2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17" fillId="3" borderId="26" xfId="0" applyFont="1" applyFill="1" applyBorder="1" applyAlignment="1">
      <alignment horizontal="center"/>
    </xf>
    <xf numFmtId="0" fontId="8" fillId="3" borderId="11" xfId="0" applyFont="1" applyFill="1" applyBorder="1"/>
    <xf numFmtId="0" fontId="17" fillId="3" borderId="11" xfId="0" applyFont="1" applyFill="1" applyBorder="1" applyAlignment="1">
      <alignment horizontal="center"/>
    </xf>
    <xf numFmtId="0" fontId="17" fillId="3" borderId="2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18" fillId="2" borderId="0" xfId="0" applyNumberFormat="1" applyFont="1" applyFill="1" applyAlignment="1">
      <alignment horizontal="right" wrapText="1"/>
    </xf>
    <xf numFmtId="0" fontId="15" fillId="2" borderId="8" xfId="1" applyNumberFormat="1" applyFill="1" applyBorder="1" applyAlignment="1" applyProtection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2" borderId="8" xfId="1" applyNumberFormat="1" applyFill="1" applyBorder="1" applyAlignment="1" applyProtection="1">
      <alignment horizontal="left" vertical="center"/>
    </xf>
    <xf numFmtId="0" fontId="21" fillId="0" borderId="31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center" vertical="center"/>
    </xf>
    <xf numFmtId="0" fontId="22" fillId="2" borderId="14" xfId="0" applyFont="1" applyFill="1" applyBorder="1"/>
    <xf numFmtId="0" fontId="22" fillId="2" borderId="14" xfId="0" applyFont="1" applyFill="1" applyBorder="1" applyAlignment="1">
      <alignment wrapText="1"/>
    </xf>
    <xf numFmtId="0" fontId="21" fillId="2" borderId="14" xfId="0" applyFont="1" applyFill="1" applyBorder="1" applyAlignment="1">
      <alignment wrapText="1"/>
    </xf>
    <xf numFmtId="0" fontId="23" fillId="2" borderId="0" xfId="0" applyFont="1" applyFill="1" applyAlignment="1">
      <alignment wrapText="1"/>
    </xf>
    <xf numFmtId="0" fontId="21" fillId="2" borderId="0" xfId="0" applyFont="1" applyFill="1" applyAlignment="1">
      <alignment wrapText="1"/>
    </xf>
    <xf numFmtId="0" fontId="22" fillId="2" borderId="0" xfId="0" applyFont="1" applyFill="1"/>
    <xf numFmtId="0" fontId="24" fillId="2" borderId="0" xfId="0" applyFont="1" applyFill="1"/>
    <xf numFmtId="0" fontId="21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21" fillId="0" borderId="0" xfId="0" applyFont="1" applyAlignment="1">
      <alignment horizontal="center" vertical="center"/>
    </xf>
    <xf numFmtId="0" fontId="21" fillId="2" borderId="0" xfId="0" applyFont="1" applyFill="1"/>
    <xf numFmtId="0" fontId="21" fillId="2" borderId="0" xfId="3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left" vertical="center"/>
    </xf>
    <xf numFmtId="0" fontId="8" fillId="3" borderId="31" xfId="3" applyFont="1" applyFill="1" applyBorder="1" applyAlignment="1">
      <alignment horizontal="center" vertical="center" wrapText="1"/>
    </xf>
    <xf numFmtId="0" fontId="8" fillId="3" borderId="31" xfId="3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left" vertical="center" wrapText="1"/>
    </xf>
    <xf numFmtId="0" fontId="25" fillId="0" borderId="31" xfId="0" applyFont="1" applyBorder="1" applyAlignment="1">
      <alignment horizontal="left" vertical="center"/>
    </xf>
    <xf numFmtId="0" fontId="21" fillId="2" borderId="31" xfId="0" applyFont="1" applyFill="1" applyBorder="1"/>
    <xf numFmtId="0" fontId="21" fillId="2" borderId="31" xfId="0" applyFont="1" applyFill="1" applyBorder="1" applyAlignment="1">
      <alignment vertical="center" wrapText="1"/>
    </xf>
    <xf numFmtId="0" fontId="13" fillId="2" borderId="15" xfId="3" applyFont="1" applyFill="1" applyBorder="1" applyAlignment="1">
      <alignment horizontal="left" wrapText="1"/>
    </xf>
    <xf numFmtId="0" fontId="13" fillId="2" borderId="16" xfId="3" applyFont="1" applyFill="1" applyBorder="1" applyAlignment="1">
      <alignment horizontal="left" wrapText="1"/>
    </xf>
    <xf numFmtId="0" fontId="11" fillId="2" borderId="1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1" fontId="6" fillId="2" borderId="1" xfId="0" applyNumberFormat="1" applyFont="1" applyFill="1" applyBorder="1"/>
    <xf numFmtId="0" fontId="7" fillId="2" borderId="2" xfId="0" applyFont="1" applyFill="1" applyBorder="1" applyAlignment="1">
      <alignment horizontal="left"/>
    </xf>
    <xf numFmtId="0" fontId="16" fillId="2" borderId="28" xfId="0" applyFont="1" applyFill="1" applyBorder="1" applyAlignment="1">
      <alignment horizontal="center" vertical="center" wrapText="1"/>
    </xf>
    <xf numFmtId="0" fontId="7" fillId="2" borderId="29" xfId="3" applyFont="1" applyFill="1" applyBorder="1" applyAlignment="1">
      <alignment horizontal="left" wrapText="1"/>
    </xf>
    <xf numFmtId="0" fontId="7" fillId="2" borderId="30" xfId="3" applyFont="1" applyFill="1" applyBorder="1" applyAlignment="1">
      <alignment horizontal="left" wrapText="1"/>
    </xf>
    <xf numFmtId="0" fontId="11" fillId="2" borderId="2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0" fontId="7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center"/>
    </xf>
  </cellXfs>
  <cellStyles count="5">
    <cellStyle name="Hyperlink" xfId="1" builtinId="8"/>
    <cellStyle name="Normal" xfId="0" builtinId="0"/>
    <cellStyle name="Normal_Functional Test Case v1.0" xfId="2" xr:uid="{C48BB584-700B-D64B-8404-4676C820111A}"/>
    <cellStyle name="Normal_Sheet1" xfId="3" xr:uid="{A9264020-C429-5142-9C39-B67A411B90CE}"/>
    <cellStyle name="標準_結合試験(AllOvertheWorld)" xfId="4" xr:uid="{68F5B3C1-6BAD-E84F-8A2E-C6AF50D2838D}"/>
  </cellStyles>
  <dxfs count="0"/>
  <tableStyles count="1" defaultTableStyle="TableStyleMedium9" defaultPivotStyle="PivotStyleLight16">
    <tableStyle name="Invisible" pivot="0" table="0" count="0" xr9:uid="{AF480CE7-EB18-DC4D-AB1A-332A241A87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348D-9796-DF47-B02F-62DFD208A110}">
  <dimension ref="A2:G18"/>
  <sheetViews>
    <sheetView workbookViewId="0">
      <selection activeCell="C36" sqref="C36"/>
    </sheetView>
  </sheetViews>
  <sheetFormatPr baseColWidth="10" defaultColWidth="9" defaultRowHeight="13"/>
  <cols>
    <col min="1" max="1" width="2.1640625" style="1" customWidth="1"/>
    <col min="2" max="2" width="19.6640625" style="2" customWidth="1"/>
    <col min="3" max="3" width="9.1640625" style="1" customWidth="1"/>
    <col min="4" max="4" width="14.5" style="1" customWidth="1"/>
    <col min="5" max="5" width="8" style="1" customWidth="1"/>
    <col min="6" max="6" width="31.1640625" style="1" customWidth="1"/>
    <col min="7" max="7" width="31" style="1" customWidth="1"/>
    <col min="8" max="16384" width="9" style="1"/>
  </cols>
  <sheetData>
    <row r="2" spans="1:7" s="5" customFormat="1" ht="75.75" customHeight="1">
      <c r="A2" s="3"/>
      <c r="B2" s="4"/>
      <c r="C2" s="125" t="s">
        <v>0</v>
      </c>
      <c r="D2" s="125"/>
      <c r="E2" s="125"/>
      <c r="F2" s="125"/>
      <c r="G2" s="125"/>
    </row>
    <row r="3" spans="1:7">
      <c r="B3" s="6"/>
      <c r="C3" s="7"/>
      <c r="F3" s="8"/>
    </row>
    <row r="4" spans="1:7" ht="14.25" customHeight="1">
      <c r="B4" s="9" t="s">
        <v>1</v>
      </c>
      <c r="C4" s="126" t="s">
        <v>2</v>
      </c>
      <c r="D4" s="126"/>
      <c r="E4" s="126"/>
      <c r="F4" s="9" t="s">
        <v>3</v>
      </c>
      <c r="G4" s="10"/>
    </row>
    <row r="5" spans="1:7" ht="14.25" customHeight="1">
      <c r="B5" s="9" t="s">
        <v>4</v>
      </c>
      <c r="C5" s="126" t="s">
        <v>5</v>
      </c>
      <c r="D5" s="126"/>
      <c r="E5" s="126"/>
      <c r="F5" s="9" t="s">
        <v>6</v>
      </c>
      <c r="G5" s="10"/>
    </row>
    <row r="6" spans="1:7" ht="15.75" customHeight="1">
      <c r="B6" s="127" t="s">
        <v>7</v>
      </c>
      <c r="C6" s="128" t="str">
        <f>C5&amp;"_"&amp;"XXX"&amp;"_"&amp;"vx.x"</f>
        <v>&lt;Project Code&gt;_XXX_vx.x</v>
      </c>
      <c r="D6" s="128"/>
      <c r="E6" s="128"/>
      <c r="F6" s="9" t="s">
        <v>8</v>
      </c>
      <c r="G6" s="12"/>
    </row>
    <row r="7" spans="1:7" ht="13.5" customHeight="1">
      <c r="B7" s="127"/>
      <c r="C7" s="128"/>
      <c r="D7" s="128"/>
      <c r="E7" s="128"/>
      <c r="F7" s="9" t="s">
        <v>9</v>
      </c>
      <c r="G7" s="12"/>
    </row>
    <row r="8" spans="1:7">
      <c r="B8" s="13"/>
      <c r="C8" s="14"/>
      <c r="F8" s="6"/>
      <c r="G8" s="7"/>
    </row>
    <row r="10" spans="1:7">
      <c r="B10" s="15" t="s">
        <v>10</v>
      </c>
    </row>
    <row r="11" spans="1:7" s="16" customFormat="1">
      <c r="B11" s="17" t="s">
        <v>11</v>
      </c>
      <c r="C11" s="18" t="s">
        <v>9</v>
      </c>
      <c r="D11" s="18" t="s">
        <v>12</v>
      </c>
      <c r="E11" s="18" t="s">
        <v>13</v>
      </c>
      <c r="F11" s="18" t="s">
        <v>14</v>
      </c>
      <c r="G11" s="19" t="s">
        <v>15</v>
      </c>
    </row>
    <row r="12" spans="1:7" s="20" customFormat="1" ht="28">
      <c r="B12" s="21" t="s">
        <v>16</v>
      </c>
      <c r="C12" s="22"/>
      <c r="D12" s="23"/>
      <c r="E12" s="23"/>
      <c r="F12" s="24"/>
      <c r="G12" s="25" t="s">
        <v>43</v>
      </c>
    </row>
    <row r="13" spans="1:7" s="20" customFormat="1" ht="21.75" customHeight="1">
      <c r="B13" s="26"/>
      <c r="C13" s="22"/>
      <c r="D13" s="23"/>
      <c r="E13" s="23"/>
      <c r="F13" s="23"/>
      <c r="G13" s="27"/>
    </row>
    <row r="14" spans="1:7" s="20" customFormat="1" ht="19.5" customHeight="1">
      <c r="B14" s="26"/>
      <c r="C14" s="22"/>
      <c r="D14" s="23"/>
      <c r="E14" s="23"/>
      <c r="F14" s="23"/>
      <c r="G14" s="27"/>
    </row>
    <row r="15" spans="1:7" s="20" customFormat="1" ht="21.75" customHeight="1">
      <c r="B15" s="26"/>
      <c r="C15" s="22"/>
      <c r="D15" s="23"/>
      <c r="E15" s="23"/>
      <c r="F15" s="23"/>
      <c r="G15" s="27"/>
    </row>
    <row r="16" spans="1:7" s="20" customFormat="1" ht="19.5" customHeight="1">
      <c r="B16" s="26"/>
      <c r="C16" s="22"/>
      <c r="D16" s="23"/>
      <c r="E16" s="23"/>
      <c r="F16" s="23"/>
      <c r="G16" s="27"/>
    </row>
    <row r="17" spans="2:7" s="20" customFormat="1" ht="21.75" customHeight="1">
      <c r="B17" s="26"/>
      <c r="C17" s="22"/>
      <c r="D17" s="23"/>
      <c r="E17" s="23"/>
      <c r="F17" s="23"/>
      <c r="G17" s="27"/>
    </row>
    <row r="18" spans="2:7" s="20" customFormat="1" ht="19.5" customHeight="1">
      <c r="B18" s="28"/>
      <c r="C18" s="29"/>
      <c r="D18" s="30"/>
      <c r="E18" s="30"/>
      <c r="F18" s="30"/>
      <c r="G18" s="31"/>
    </row>
  </sheetData>
  <mergeCells count="5">
    <mergeCell ref="C2:G2"/>
    <mergeCell ref="C4:E4"/>
    <mergeCell ref="C5:E5"/>
    <mergeCell ref="B6:B7"/>
    <mergeCell ref="C6:E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C800-0BA0-DF42-BAF3-9D3D5760E564}">
  <dimension ref="B1:F21"/>
  <sheetViews>
    <sheetView zoomScale="141" workbookViewId="0">
      <selection activeCell="C9" sqref="C9"/>
    </sheetView>
  </sheetViews>
  <sheetFormatPr baseColWidth="10" defaultColWidth="9" defaultRowHeight="13"/>
  <cols>
    <col min="1" max="1" width="1.33203125" style="8" customWidth="1"/>
    <col min="2" max="2" width="11.83203125" style="32" customWidth="1"/>
    <col min="3" max="3" width="26.5" style="33" customWidth="1"/>
    <col min="4" max="4" width="17.1640625" style="33" customWidth="1"/>
    <col min="5" max="5" width="28.1640625" style="33" customWidth="1"/>
    <col min="6" max="6" width="30.6640625" style="33" customWidth="1"/>
    <col min="7" max="16384" width="9" style="8"/>
  </cols>
  <sheetData>
    <row r="1" spans="2:6" ht="25">
      <c r="B1" s="34"/>
      <c r="D1" s="35" t="s">
        <v>17</v>
      </c>
      <c r="E1" s="36"/>
    </row>
    <row r="2" spans="2:6" ht="13.5" customHeight="1">
      <c r="B2" s="34"/>
      <c r="D2" s="37"/>
      <c r="E2" s="37"/>
    </row>
    <row r="3" spans="2:6">
      <c r="B3" s="131" t="s">
        <v>1</v>
      </c>
      <c r="C3" s="131"/>
      <c r="D3" s="132" t="str">
        <f>Cover!C4</f>
        <v>&lt;Project Name&gt;</v>
      </c>
      <c r="E3" s="132"/>
      <c r="F3" s="132"/>
    </row>
    <row r="4" spans="2:6">
      <c r="B4" s="131" t="s">
        <v>4</v>
      </c>
      <c r="C4" s="131"/>
      <c r="D4" s="132" t="str">
        <f>Cover!C5</f>
        <v>&lt;Project Code&gt;</v>
      </c>
      <c r="E4" s="132"/>
      <c r="F4" s="132"/>
    </row>
    <row r="5" spans="2:6" s="38" customFormat="1" ht="84.75" customHeight="1">
      <c r="B5" s="129" t="s">
        <v>18</v>
      </c>
      <c r="C5" s="129"/>
      <c r="D5" s="130" t="s">
        <v>19</v>
      </c>
      <c r="E5" s="130"/>
      <c r="F5" s="130"/>
    </row>
    <row r="6" spans="2:6">
      <c r="B6" s="39"/>
      <c r="C6" s="8"/>
      <c r="D6" s="8"/>
      <c r="E6" s="8"/>
      <c r="F6" s="8"/>
    </row>
    <row r="7" spans="2:6" s="40" customFormat="1">
      <c r="B7" s="41"/>
      <c r="C7" s="42"/>
      <c r="D7" s="42"/>
      <c r="E7" s="42"/>
      <c r="F7" s="42"/>
    </row>
    <row r="8" spans="2:6" s="43" customFormat="1" ht="21" customHeight="1">
      <c r="B8" s="44" t="s">
        <v>20</v>
      </c>
      <c r="C8" s="45" t="s">
        <v>69</v>
      </c>
      <c r="D8" s="45" t="s">
        <v>21</v>
      </c>
      <c r="E8" s="46" t="s">
        <v>22</v>
      </c>
      <c r="F8" s="47" t="s">
        <v>23</v>
      </c>
    </row>
    <row r="9" spans="2:6">
      <c r="B9" s="48">
        <v>1</v>
      </c>
      <c r="C9" s="49" t="s">
        <v>46</v>
      </c>
      <c r="D9" s="50" t="s">
        <v>24</v>
      </c>
      <c r="E9" s="50"/>
      <c r="F9" s="51"/>
    </row>
    <row r="10" spans="2:6" ht="14">
      <c r="B10" s="48">
        <v>2</v>
      </c>
      <c r="C10" s="49" t="s">
        <v>50</v>
      </c>
      <c r="D10" s="89" t="s">
        <v>25</v>
      </c>
      <c r="E10" s="50"/>
      <c r="F10" s="51"/>
    </row>
    <row r="11" spans="2:6" ht="14">
      <c r="B11" s="48">
        <v>3</v>
      </c>
      <c r="C11" s="49" t="s">
        <v>51</v>
      </c>
      <c r="D11" s="90" t="s">
        <v>45</v>
      </c>
      <c r="E11" s="50"/>
      <c r="F11" s="51"/>
    </row>
    <row r="12" spans="2:6" ht="14">
      <c r="B12" s="48">
        <v>4</v>
      </c>
      <c r="C12" s="49" t="s">
        <v>52</v>
      </c>
      <c r="D12" s="90" t="s">
        <v>64</v>
      </c>
      <c r="E12" s="50"/>
      <c r="F12" s="51"/>
    </row>
    <row r="13" spans="2:6">
      <c r="B13" s="48"/>
      <c r="C13" s="49"/>
      <c r="D13" s="50"/>
      <c r="E13" s="50"/>
      <c r="F13" s="51"/>
    </row>
    <row r="14" spans="2:6">
      <c r="B14" s="48"/>
      <c r="D14" s="52"/>
      <c r="E14" s="52"/>
      <c r="F14" s="51"/>
    </row>
    <row r="15" spans="2:6">
      <c r="B15" s="48"/>
      <c r="C15" s="49"/>
      <c r="D15" s="52"/>
      <c r="E15" s="52"/>
      <c r="F15" s="51"/>
    </row>
    <row r="16" spans="2:6">
      <c r="B16" s="48"/>
      <c r="C16" s="49"/>
      <c r="D16" s="52"/>
      <c r="E16" s="52"/>
      <c r="F16" s="51"/>
    </row>
    <row r="17" spans="2:6">
      <c r="B17" s="48"/>
      <c r="C17" s="49"/>
      <c r="D17" s="52"/>
      <c r="E17" s="52"/>
      <c r="F17" s="51"/>
    </row>
    <row r="18" spans="2:6">
      <c r="B18" s="48"/>
      <c r="C18" s="49"/>
      <c r="D18" s="52"/>
      <c r="E18" s="52"/>
      <c r="F18" s="51"/>
    </row>
    <row r="19" spans="2:6">
      <c r="B19" s="48"/>
      <c r="C19" s="49"/>
      <c r="D19" s="52"/>
      <c r="E19" s="52"/>
      <c r="F19" s="51"/>
    </row>
    <row r="20" spans="2:6">
      <c r="B20" s="48"/>
      <c r="C20" s="49"/>
      <c r="D20" s="52"/>
      <c r="E20" s="52"/>
      <c r="F20" s="51"/>
    </row>
    <row r="21" spans="2:6">
      <c r="B21" s="53"/>
      <c r="C21" s="54"/>
      <c r="D21" s="55"/>
      <c r="E21" s="55"/>
      <c r="F21" s="56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1!B10" display="Module1" xr:uid="{FC77F630-5337-2145-ADDB-A7DD980E1A2D}"/>
    <hyperlink ref="D11" location="Module3!B17" display="Module3" xr:uid="{759E4C47-A82E-C148-A178-12FF206E8AD5}"/>
    <hyperlink ref="D10" location="Module2!A1" display="Module2" xr:uid="{EFC3B2F0-9872-0B4D-9F85-37113E4168DE}"/>
    <hyperlink ref="D12" location="Module4!A1" display="Module4" xr:uid="{20CAF03E-8E95-E24F-9AF5-5471B6EC1FA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ABC5-B443-FF41-BA73-04E67E6728A8}">
  <dimension ref="A1:I12"/>
  <sheetViews>
    <sheetView workbookViewId="0">
      <pane ySplit="7" topLeftCell="A8" activePane="bottomLeft" state="frozen"/>
      <selection pane="bottomLeft" activeCell="A9" sqref="A9:A12"/>
    </sheetView>
  </sheetViews>
  <sheetFormatPr baseColWidth="10" defaultColWidth="9" defaultRowHeight="16"/>
  <cols>
    <col min="1" max="1" width="16" style="104" bestFit="1" customWidth="1"/>
    <col min="2" max="2" width="18.6640625" style="104" bestFit="1" customWidth="1"/>
    <col min="3" max="3" width="29.5" style="104" customWidth="1"/>
    <col min="4" max="4" width="38" style="104" customWidth="1"/>
    <col min="5" max="5" width="31.5" style="104" customWidth="1"/>
    <col min="6" max="6" width="11.6640625" style="104" customWidth="1"/>
    <col min="7" max="7" width="14.83203125" style="104" customWidth="1"/>
    <col min="8" max="8" width="11" style="104" bestFit="1" customWidth="1"/>
    <col min="9" max="9" width="20.83203125" style="104" customWidth="1"/>
    <col min="10" max="16384" width="9" style="104"/>
  </cols>
  <sheetData>
    <row r="1" spans="1:9" s="99" customFormat="1">
      <c r="A1" s="94"/>
      <c r="B1" s="95"/>
      <c r="C1" s="95"/>
      <c r="D1" s="95"/>
      <c r="E1" s="95"/>
      <c r="F1" s="96"/>
      <c r="G1" s="97"/>
      <c r="H1" s="98"/>
    </row>
    <row r="2" spans="1:9" s="99" customFormat="1" ht="15" customHeight="1">
      <c r="A2" s="116" t="s">
        <v>104</v>
      </c>
      <c r="B2" s="134" t="s">
        <v>105</v>
      </c>
      <c r="C2" s="134"/>
      <c r="D2" s="134"/>
      <c r="E2" s="134"/>
      <c r="F2" s="134"/>
      <c r="G2" s="98"/>
      <c r="H2" s="99" t="s">
        <v>26</v>
      </c>
    </row>
    <row r="3" spans="1:9" s="99" customFormat="1" ht="25.5" customHeight="1">
      <c r="A3" s="117" t="s">
        <v>106</v>
      </c>
      <c r="B3" s="134" t="s">
        <v>107</v>
      </c>
      <c r="C3" s="134"/>
      <c r="D3" s="134"/>
      <c r="E3" s="134"/>
      <c r="F3" s="134"/>
      <c r="G3" s="98"/>
      <c r="H3" s="99" t="s">
        <v>27</v>
      </c>
    </row>
    <row r="4" spans="1:9" s="99" customFormat="1" ht="18" customHeight="1">
      <c r="A4" s="116" t="s">
        <v>108</v>
      </c>
      <c r="B4" s="135"/>
      <c r="C4" s="135"/>
      <c r="D4" s="135"/>
      <c r="E4" s="135"/>
      <c r="F4" s="135"/>
      <c r="G4" s="98"/>
      <c r="H4" s="100"/>
    </row>
    <row r="5" spans="1:9" s="99" customFormat="1" ht="19.5" customHeight="1">
      <c r="A5" s="118" t="s">
        <v>26</v>
      </c>
      <c r="B5" s="119" t="s">
        <v>27</v>
      </c>
      <c r="C5" s="119" t="s">
        <v>28</v>
      </c>
      <c r="D5" s="120" t="s">
        <v>29</v>
      </c>
      <c r="E5" s="136" t="s">
        <v>109</v>
      </c>
      <c r="F5" s="136"/>
      <c r="G5" s="101"/>
      <c r="H5" s="99" t="s">
        <v>30</v>
      </c>
    </row>
    <row r="6" spans="1:9" s="99" customFormat="1" ht="15" customHeight="1">
      <c r="A6" s="121">
        <f>COUNTIF(G9:G991,"Pass")</f>
        <v>4</v>
      </c>
      <c r="B6" s="122">
        <f>COUNTIF(G9:G991,"Fail")</f>
        <v>0</v>
      </c>
      <c r="C6" s="122">
        <f>E6-D6-B6-A6</f>
        <v>0</v>
      </c>
      <c r="D6" s="123">
        <f>COUNTIF(G$9:G$991,"N/A")</f>
        <v>0</v>
      </c>
      <c r="E6" s="133">
        <v>4</v>
      </c>
      <c r="F6" s="133"/>
      <c r="G6" s="101"/>
      <c r="H6" s="99" t="s">
        <v>29</v>
      </c>
    </row>
    <row r="7" spans="1:9" s="99" customFormat="1" ht="15" customHeight="1">
      <c r="D7" s="102"/>
      <c r="E7" s="102"/>
      <c r="F7" s="101"/>
      <c r="G7" s="101"/>
    </row>
    <row r="8" spans="1:9" ht="28">
      <c r="A8" s="109" t="s">
        <v>31</v>
      </c>
      <c r="B8" s="109" t="s">
        <v>92</v>
      </c>
      <c r="C8" s="109" t="s">
        <v>93</v>
      </c>
      <c r="D8" s="109" t="s">
        <v>94</v>
      </c>
      <c r="E8" s="109" t="s">
        <v>95</v>
      </c>
      <c r="F8" s="109" t="s">
        <v>96</v>
      </c>
      <c r="G8" s="110" t="s">
        <v>32</v>
      </c>
      <c r="H8" s="109" t="s">
        <v>96</v>
      </c>
      <c r="I8" s="109" t="s">
        <v>22</v>
      </c>
    </row>
    <row r="9" spans="1:9" ht="85">
      <c r="A9" s="91" t="s">
        <v>70</v>
      </c>
      <c r="B9" s="91" t="s">
        <v>47</v>
      </c>
      <c r="C9" s="112" t="s">
        <v>97</v>
      </c>
      <c r="D9" s="107" t="s">
        <v>71</v>
      </c>
      <c r="E9" s="107" t="s">
        <v>72</v>
      </c>
      <c r="F9" s="111" t="s">
        <v>99</v>
      </c>
      <c r="G9" s="111" t="s">
        <v>26</v>
      </c>
      <c r="H9" s="111" t="s">
        <v>103</v>
      </c>
      <c r="I9" s="113"/>
    </row>
    <row r="10" spans="1:9" ht="85">
      <c r="A10" s="91" t="s">
        <v>73</v>
      </c>
      <c r="B10" s="91" t="s">
        <v>47</v>
      </c>
      <c r="C10" s="115" t="s">
        <v>98</v>
      </c>
      <c r="D10" s="107" t="s">
        <v>74</v>
      </c>
      <c r="E10" s="107" t="s">
        <v>75</v>
      </c>
      <c r="F10" s="111" t="s">
        <v>100</v>
      </c>
      <c r="G10" s="93" t="s">
        <v>26</v>
      </c>
      <c r="H10" s="111" t="s">
        <v>103</v>
      </c>
      <c r="I10" s="114"/>
    </row>
    <row r="11" spans="1:9" ht="51">
      <c r="A11" s="91" t="s">
        <v>48</v>
      </c>
      <c r="B11" s="91" t="s">
        <v>44</v>
      </c>
      <c r="C11" s="114"/>
      <c r="D11" s="107" t="s">
        <v>76</v>
      </c>
      <c r="E11" s="107" t="s">
        <v>77</v>
      </c>
      <c r="F11" s="111" t="s">
        <v>101</v>
      </c>
      <c r="G11" s="93" t="s">
        <v>26</v>
      </c>
      <c r="H11" s="111" t="s">
        <v>103</v>
      </c>
      <c r="I11" s="114"/>
    </row>
    <row r="12" spans="1:9" ht="51">
      <c r="A12" s="91" t="s">
        <v>49</v>
      </c>
      <c r="B12" s="91" t="s">
        <v>44</v>
      </c>
      <c r="C12" s="114"/>
      <c r="D12" s="107" t="s">
        <v>78</v>
      </c>
      <c r="E12" s="107" t="s">
        <v>79</v>
      </c>
      <c r="F12" s="111" t="s">
        <v>102</v>
      </c>
      <c r="G12" s="93" t="s">
        <v>26</v>
      </c>
      <c r="H12" s="111" t="s">
        <v>103</v>
      </c>
      <c r="I12" s="114"/>
    </row>
  </sheetData>
  <mergeCells count="5">
    <mergeCell ref="E6:F6"/>
    <mergeCell ref="B2:F2"/>
    <mergeCell ref="B3:F3"/>
    <mergeCell ref="B4:F4"/>
    <mergeCell ref="E5:F5"/>
  </mergeCells>
  <phoneticPr fontId="0" type="noConversion"/>
  <dataValidations count="3">
    <dataValidation type="list" allowBlank="1" showErrorMessage="1" sqref="G8" xr:uid="{E9D5AC89-0910-B247-A77A-EA7A9C350142}">
      <formula1>#REF!</formula1>
      <formula2>0</formula2>
    </dataValidation>
    <dataValidation type="list" allowBlank="1" showErrorMessage="1" sqref="F7 F13:F124 F1" xr:uid="{0926D9D0-1AE7-204E-AFDC-71D73AD07237}">
      <formula1>$H$2:$H$6</formula1>
      <formula2>0</formula2>
    </dataValidation>
    <dataValidation type="list" allowBlank="1" showErrorMessage="1" sqref="F2:F3" xr:uid="{3EEE7306-FAF3-CD4C-9F91-4DB14BD3C26F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1288-1135-FA43-BA31-A098B66B5034}">
  <dimension ref="A1:I12"/>
  <sheetViews>
    <sheetView zoomScale="109" workbookViewId="0">
      <pane ySplit="7" topLeftCell="A8" activePane="bottomLeft" state="frozen"/>
      <selection pane="bottomLeft" activeCell="A9" sqref="A9:A12"/>
    </sheetView>
  </sheetViews>
  <sheetFormatPr baseColWidth="10" defaultColWidth="9" defaultRowHeight="16"/>
  <cols>
    <col min="1" max="1" width="16.1640625" style="104" bestFit="1" customWidth="1"/>
    <col min="2" max="2" width="20" style="104" bestFit="1" customWidth="1"/>
    <col min="3" max="3" width="30.6640625" style="104" bestFit="1" customWidth="1"/>
    <col min="4" max="4" width="38.1640625" style="104" bestFit="1" customWidth="1"/>
    <col min="5" max="5" width="49.33203125" style="104" bestFit="1" customWidth="1"/>
    <col min="6" max="6" width="17.1640625" style="104" customWidth="1"/>
    <col min="7" max="7" width="9" style="104"/>
    <col min="8" max="8" width="13.83203125" style="104" customWidth="1"/>
    <col min="9" max="9" width="19.5" style="104" customWidth="1"/>
    <col min="10" max="16384" width="9" style="104"/>
  </cols>
  <sheetData>
    <row r="1" spans="1:9" s="99" customFormat="1">
      <c r="A1" s="94"/>
      <c r="B1" s="95"/>
      <c r="C1" s="95"/>
      <c r="D1" s="95"/>
      <c r="E1" s="95"/>
      <c r="F1" s="96"/>
      <c r="G1" s="97"/>
    </row>
    <row r="2" spans="1:9" s="99" customFormat="1" ht="15" customHeight="1">
      <c r="A2" s="116" t="s">
        <v>104</v>
      </c>
      <c r="B2" s="134" t="s">
        <v>25</v>
      </c>
      <c r="C2" s="134"/>
      <c r="D2" s="134"/>
      <c r="E2" s="134"/>
      <c r="F2" s="134"/>
      <c r="G2" s="98"/>
      <c r="H2" s="99" t="s">
        <v>26</v>
      </c>
    </row>
    <row r="3" spans="1:9" s="99" customFormat="1" ht="25.5" customHeight="1">
      <c r="A3" s="117" t="s">
        <v>106</v>
      </c>
      <c r="B3" s="134" t="s">
        <v>107</v>
      </c>
      <c r="C3" s="134"/>
      <c r="D3" s="134"/>
      <c r="E3" s="134"/>
      <c r="F3" s="134"/>
      <c r="G3" s="98"/>
      <c r="H3" s="99" t="s">
        <v>27</v>
      </c>
    </row>
    <row r="4" spans="1:9" s="99" customFormat="1" ht="18" customHeight="1">
      <c r="A4" s="116" t="s">
        <v>108</v>
      </c>
      <c r="B4" s="135"/>
      <c r="C4" s="135"/>
      <c r="D4" s="135"/>
      <c r="E4" s="135"/>
      <c r="F4" s="135"/>
      <c r="G4" s="98"/>
      <c r="H4" s="100"/>
    </row>
    <row r="5" spans="1:9" s="99" customFormat="1" ht="19.5" customHeight="1">
      <c r="A5" s="118" t="s">
        <v>26</v>
      </c>
      <c r="B5" s="119" t="s">
        <v>27</v>
      </c>
      <c r="C5" s="119" t="s">
        <v>28</v>
      </c>
      <c r="D5" s="120" t="s">
        <v>29</v>
      </c>
      <c r="E5" s="136" t="s">
        <v>109</v>
      </c>
      <c r="F5" s="136"/>
      <c r="G5" s="101"/>
      <c r="H5" s="99" t="s">
        <v>30</v>
      </c>
    </row>
    <row r="6" spans="1:9" s="99" customFormat="1" ht="15" customHeight="1">
      <c r="A6" s="121">
        <f>COUNTIF(G9:G991,"Pass")</f>
        <v>4</v>
      </c>
      <c r="B6" s="122">
        <f>COUNTIF(G9:G991,"Fail")</f>
        <v>0</v>
      </c>
      <c r="C6" s="122">
        <f>E6-D6-B6-A6</f>
        <v>0</v>
      </c>
      <c r="D6" s="123">
        <f>COUNTIF(G$9:G$991,"N/A")</f>
        <v>0</v>
      </c>
      <c r="E6" s="133">
        <v>4</v>
      </c>
      <c r="F6" s="133"/>
      <c r="G6" s="101"/>
      <c r="H6" s="99" t="s">
        <v>29</v>
      </c>
    </row>
    <row r="7" spans="1:9" s="99" customFormat="1" ht="15" customHeight="1">
      <c r="D7" s="102"/>
      <c r="E7" s="102"/>
      <c r="F7" s="102"/>
      <c r="G7" s="102"/>
    </row>
    <row r="8" spans="1:9">
      <c r="A8" s="109" t="s">
        <v>31</v>
      </c>
      <c r="B8" s="109" t="s">
        <v>92</v>
      </c>
      <c r="C8" s="109" t="s">
        <v>93</v>
      </c>
      <c r="D8" s="109" t="s">
        <v>94</v>
      </c>
      <c r="E8" s="109" t="s">
        <v>95</v>
      </c>
      <c r="F8" s="109" t="s">
        <v>96</v>
      </c>
      <c r="G8" s="110" t="s">
        <v>32</v>
      </c>
      <c r="H8" s="109" t="s">
        <v>96</v>
      </c>
      <c r="I8" s="109" t="s">
        <v>22</v>
      </c>
    </row>
    <row r="9" spans="1:9" ht="85">
      <c r="A9" s="91" t="s">
        <v>53</v>
      </c>
      <c r="B9" s="91" t="s">
        <v>54</v>
      </c>
      <c r="C9" s="112"/>
      <c r="D9" s="107" t="s">
        <v>71</v>
      </c>
      <c r="E9" s="107" t="s">
        <v>72</v>
      </c>
      <c r="F9" s="111"/>
      <c r="G9" s="111" t="s">
        <v>26</v>
      </c>
      <c r="H9" s="111" t="s">
        <v>103</v>
      </c>
      <c r="I9" s="113"/>
    </row>
    <row r="10" spans="1:9" ht="85">
      <c r="A10" s="91" t="s">
        <v>55</v>
      </c>
      <c r="B10" s="92" t="s">
        <v>54</v>
      </c>
      <c r="C10" s="114"/>
      <c r="D10" s="107" t="s">
        <v>74</v>
      </c>
      <c r="E10" s="107" t="s">
        <v>75</v>
      </c>
      <c r="F10" s="114"/>
      <c r="G10" s="111" t="s">
        <v>26</v>
      </c>
      <c r="H10" s="111" t="s">
        <v>103</v>
      </c>
      <c r="I10" s="114"/>
    </row>
    <row r="11" spans="1:9" ht="51">
      <c r="A11" s="91" t="s">
        <v>56</v>
      </c>
      <c r="B11" s="91" t="s">
        <v>57</v>
      </c>
      <c r="C11" s="114"/>
      <c r="D11" s="107" t="s">
        <v>76</v>
      </c>
      <c r="E11" s="107" t="s">
        <v>77</v>
      </c>
      <c r="F11" s="114"/>
      <c r="G11" s="111" t="s">
        <v>26</v>
      </c>
      <c r="H11" s="111" t="s">
        <v>103</v>
      </c>
      <c r="I11" s="114"/>
    </row>
    <row r="12" spans="1:9" ht="51">
      <c r="A12" s="91" t="s">
        <v>58</v>
      </c>
      <c r="B12" s="91" t="s">
        <v>59</v>
      </c>
      <c r="C12" s="114"/>
      <c r="D12" s="107" t="s">
        <v>78</v>
      </c>
      <c r="E12" s="107" t="s">
        <v>79</v>
      </c>
      <c r="F12" s="114"/>
      <c r="G12" s="111" t="s">
        <v>26</v>
      </c>
      <c r="H12" s="111" t="s">
        <v>103</v>
      </c>
      <c r="I12" s="114"/>
    </row>
  </sheetData>
  <mergeCells count="5">
    <mergeCell ref="E6:F6"/>
    <mergeCell ref="B2:F2"/>
    <mergeCell ref="B3:F3"/>
    <mergeCell ref="B4:F4"/>
    <mergeCell ref="E5:F5"/>
  </mergeCells>
  <phoneticPr fontId="0" type="noConversion"/>
  <dataValidations count="3">
    <dataValidation type="list" allowBlank="1" showErrorMessage="1" sqref="G8 F13:F135 F7 F1" xr:uid="{244364E1-8292-B946-885E-05FD1E349DEA}">
      <formula1>$H$2:$H$6</formula1>
      <formula2>0</formula2>
    </dataValidation>
    <dataValidation type="list" allowBlank="1" showErrorMessage="1" sqref="F10:F12" xr:uid="{C9B782CC-AA75-5D4B-8857-0BE342C0A930}">
      <formula1>#REF!</formula1>
      <formula2>0</formula2>
    </dataValidation>
    <dataValidation type="list" allowBlank="1" showErrorMessage="1" sqref="F2:F3" xr:uid="{039370F1-3B00-804D-9125-E01D40E0C056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EDBE-B62B-A64E-ADB6-983CCDC8C430}">
  <dimension ref="A1:I9"/>
  <sheetViews>
    <sheetView workbookViewId="0">
      <pane ySplit="6" topLeftCell="A7" activePane="bottomLeft" state="frozen"/>
      <selection pane="bottomLeft" activeCell="A8" sqref="A8:A9"/>
    </sheetView>
  </sheetViews>
  <sheetFormatPr baseColWidth="10" defaultColWidth="9" defaultRowHeight="13"/>
  <cols>
    <col min="1" max="1" width="11.83203125" style="8" customWidth="1"/>
    <col min="2" max="2" width="19.1640625" style="8" customWidth="1"/>
    <col min="3" max="3" width="32.1640625" style="8" customWidth="1"/>
    <col min="4" max="4" width="28.5" style="8" customWidth="1"/>
    <col min="5" max="5" width="24.83203125" style="8" customWidth="1"/>
    <col min="6" max="6" width="20.83203125" style="8" customWidth="1"/>
    <col min="7" max="7" width="11.83203125" style="8" customWidth="1"/>
    <col min="8" max="8" width="15" style="8" customWidth="1"/>
    <col min="9" max="9" width="18" style="8" customWidth="1"/>
    <col min="10" max="16384" width="9" style="8"/>
  </cols>
  <sheetData>
    <row r="1" spans="1:9" s="57" customFormat="1" ht="15" customHeight="1">
      <c r="A1" s="116" t="s">
        <v>104</v>
      </c>
      <c r="B1" s="134" t="s">
        <v>45</v>
      </c>
      <c r="C1" s="134"/>
      <c r="D1" s="134"/>
      <c r="E1" s="134"/>
      <c r="F1" s="134"/>
      <c r="G1" s="38"/>
      <c r="H1" s="57" t="s">
        <v>26</v>
      </c>
    </row>
    <row r="2" spans="1:9" s="57" customFormat="1" ht="25.5" customHeight="1">
      <c r="A2" s="117" t="s">
        <v>106</v>
      </c>
      <c r="B2" s="134" t="s">
        <v>107</v>
      </c>
      <c r="C2" s="134"/>
      <c r="D2" s="134"/>
      <c r="E2" s="134"/>
      <c r="F2" s="134"/>
      <c r="G2" s="38"/>
      <c r="H2" s="57" t="s">
        <v>27</v>
      </c>
    </row>
    <row r="3" spans="1:9" s="57" customFormat="1" ht="18" customHeight="1">
      <c r="A3" s="116" t="s">
        <v>108</v>
      </c>
      <c r="B3" s="135"/>
      <c r="C3" s="135"/>
      <c r="D3" s="135"/>
      <c r="E3" s="135"/>
      <c r="F3" s="135"/>
      <c r="G3" s="38"/>
      <c r="H3" s="58"/>
    </row>
    <row r="4" spans="1:9" s="57" customFormat="1" ht="19.5" customHeight="1">
      <c r="A4" s="118" t="s">
        <v>26</v>
      </c>
      <c r="B4" s="119" t="s">
        <v>27</v>
      </c>
      <c r="C4" s="119" t="s">
        <v>28</v>
      </c>
      <c r="D4" s="120" t="s">
        <v>29</v>
      </c>
      <c r="E4" s="136" t="s">
        <v>109</v>
      </c>
      <c r="F4" s="136"/>
      <c r="G4" s="59"/>
      <c r="H4" s="57" t="s">
        <v>30</v>
      </c>
    </row>
    <row r="5" spans="1:9" s="57" customFormat="1" ht="15" customHeight="1" thickBot="1">
      <c r="A5" s="121">
        <f>COUNTIF(G7:G981,"Pass")</f>
        <v>2</v>
      </c>
      <c r="B5" s="122">
        <f>COUNTIF(G7:G981,"Fail")</f>
        <v>0</v>
      </c>
      <c r="C5" s="122">
        <f>E5-D5-B5-A5</f>
        <v>0</v>
      </c>
      <c r="D5" s="123">
        <f>COUNTIF(G$7:G$981,"N/A")</f>
        <v>0</v>
      </c>
      <c r="E5" s="133">
        <v>2</v>
      </c>
      <c r="F5" s="133"/>
      <c r="G5" s="59"/>
      <c r="H5" s="57" t="s">
        <v>29</v>
      </c>
    </row>
    <row r="6" spans="1:9" s="57" customFormat="1" ht="15" customHeight="1">
      <c r="D6" s="60"/>
      <c r="E6" s="60"/>
      <c r="F6" s="59"/>
      <c r="G6" s="59"/>
      <c r="H6" s="59"/>
    </row>
    <row r="7" spans="1:9" ht="14">
      <c r="A7" s="109" t="s">
        <v>31</v>
      </c>
      <c r="B7" s="109" t="s">
        <v>92</v>
      </c>
      <c r="C7" s="109" t="s">
        <v>93</v>
      </c>
      <c r="D7" s="109" t="s">
        <v>94</v>
      </c>
      <c r="E7" s="109" t="s">
        <v>95</v>
      </c>
      <c r="F7" s="109" t="s">
        <v>96</v>
      </c>
      <c r="G7" s="110" t="s">
        <v>32</v>
      </c>
      <c r="H7" s="109" t="s">
        <v>96</v>
      </c>
      <c r="I7" s="109" t="s">
        <v>22</v>
      </c>
    </row>
    <row r="8" spans="1:9" s="57" customFormat="1" ht="76" customHeight="1">
      <c r="A8" s="91" t="s">
        <v>60</v>
      </c>
      <c r="B8" s="91" t="s">
        <v>62</v>
      </c>
      <c r="C8" s="112"/>
      <c r="D8" s="107" t="s">
        <v>80</v>
      </c>
      <c r="E8" s="107" t="s">
        <v>81</v>
      </c>
      <c r="F8" s="124"/>
      <c r="G8" s="111" t="s">
        <v>26</v>
      </c>
      <c r="H8" s="111" t="s">
        <v>103</v>
      </c>
      <c r="I8" s="113"/>
    </row>
    <row r="9" spans="1:9" ht="34">
      <c r="A9" s="91" t="s">
        <v>90</v>
      </c>
      <c r="B9" s="91" t="s">
        <v>63</v>
      </c>
      <c r="C9" s="114"/>
      <c r="D9" s="108" t="s">
        <v>82</v>
      </c>
      <c r="E9" s="107" t="s">
        <v>83</v>
      </c>
      <c r="F9" s="91"/>
      <c r="G9" s="111" t="s">
        <v>26</v>
      </c>
      <c r="H9" s="111" t="s">
        <v>103</v>
      </c>
      <c r="I9" s="114"/>
    </row>
  </sheetData>
  <mergeCells count="5">
    <mergeCell ref="B1:F1"/>
    <mergeCell ref="B2:F2"/>
    <mergeCell ref="B3:F3"/>
    <mergeCell ref="E4:F4"/>
    <mergeCell ref="E5:F5"/>
  </mergeCells>
  <dataValidations count="1">
    <dataValidation type="list" allowBlank="1" showErrorMessage="1" sqref="G7 F6 F1:F2 F9:F135" xr:uid="{FF2EA11B-1EE0-EC40-9391-63EEB3CA1301}">
      <formula1>$H$1:$H$5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C5F77-0338-9646-BD39-9132227AEECC}">
  <dimension ref="A1:I10"/>
  <sheetViews>
    <sheetView tabSelected="1" workbookViewId="0">
      <selection activeCell="E9" sqref="E9"/>
    </sheetView>
  </sheetViews>
  <sheetFormatPr baseColWidth="10" defaultRowHeight="16"/>
  <cols>
    <col min="1" max="1" width="10.6640625" style="103" bestFit="1" customWidth="1"/>
    <col min="2" max="2" width="13.83203125" style="103" bestFit="1" customWidth="1"/>
    <col min="3" max="3" width="36.5" style="103" bestFit="1" customWidth="1"/>
    <col min="4" max="4" width="37.1640625" style="103" customWidth="1"/>
    <col min="5" max="5" width="46.83203125" style="103" bestFit="1" customWidth="1"/>
    <col min="6" max="6" width="17.6640625" style="103" customWidth="1"/>
    <col min="7" max="7" width="10.83203125" style="103"/>
    <col min="8" max="8" width="15" style="103" customWidth="1"/>
    <col min="9" max="9" width="22.33203125" style="103" customWidth="1"/>
    <col min="10" max="16384" width="10.83203125" style="103"/>
  </cols>
  <sheetData>
    <row r="1" spans="1:9" ht="28">
      <c r="A1" s="116" t="s">
        <v>104</v>
      </c>
      <c r="B1" s="134" t="s">
        <v>45</v>
      </c>
      <c r="C1" s="134"/>
      <c r="D1" s="134"/>
      <c r="E1" s="134"/>
      <c r="F1" s="134"/>
    </row>
    <row r="2" spans="1:9" ht="42">
      <c r="A2" s="117" t="s">
        <v>106</v>
      </c>
      <c r="B2" s="134" t="s">
        <v>107</v>
      </c>
      <c r="C2" s="134"/>
      <c r="D2" s="134"/>
      <c r="E2" s="134"/>
      <c r="F2" s="134"/>
    </row>
    <row r="3" spans="1:9">
      <c r="A3" s="116" t="s">
        <v>108</v>
      </c>
      <c r="B3" s="135"/>
      <c r="C3" s="135"/>
      <c r="D3" s="135"/>
      <c r="E3" s="135"/>
      <c r="F3" s="135"/>
    </row>
    <row r="4" spans="1:9">
      <c r="A4" s="118" t="s">
        <v>26</v>
      </c>
      <c r="B4" s="119" t="s">
        <v>27</v>
      </c>
      <c r="C4" s="119" t="s">
        <v>28</v>
      </c>
      <c r="D4" s="120" t="s">
        <v>29</v>
      </c>
      <c r="E4" s="136" t="s">
        <v>109</v>
      </c>
      <c r="F4" s="136"/>
    </row>
    <row r="5" spans="1:9" ht="17" thickBot="1">
      <c r="A5" s="121">
        <f>COUNTIF(G:G,"Pass")</f>
        <v>3</v>
      </c>
      <c r="B5" s="122">
        <f>COUNTIF(G:G,"Fail")</f>
        <v>0</v>
      </c>
      <c r="C5" s="122">
        <f>E5-D5-B5-A5</f>
        <v>0</v>
      </c>
      <c r="D5" s="123">
        <f>COUNTIF(G:G,"N/A")</f>
        <v>0</v>
      </c>
      <c r="E5" s="133">
        <v>3</v>
      </c>
      <c r="F5" s="133"/>
    </row>
    <row r="6" spans="1:9">
      <c r="A6" s="106"/>
      <c r="B6" s="106"/>
      <c r="C6" s="106"/>
      <c r="D6" s="106"/>
      <c r="E6" s="106"/>
      <c r="F6" s="105"/>
    </row>
    <row r="7" spans="1:9" ht="28">
      <c r="A7" s="109" t="s">
        <v>31</v>
      </c>
      <c r="B7" s="109" t="s">
        <v>92</v>
      </c>
      <c r="C7" s="109" t="s">
        <v>93</v>
      </c>
      <c r="D7" s="109" t="s">
        <v>94</v>
      </c>
      <c r="E7" s="109" t="s">
        <v>95</v>
      </c>
      <c r="F7" s="109" t="s">
        <v>96</v>
      </c>
      <c r="G7" s="110" t="s">
        <v>32</v>
      </c>
      <c r="H7" s="109" t="s">
        <v>96</v>
      </c>
      <c r="I7" s="109" t="s">
        <v>22</v>
      </c>
    </row>
    <row r="8" spans="1:9" ht="34">
      <c r="A8" s="91" t="s">
        <v>91</v>
      </c>
      <c r="B8" s="91" t="s">
        <v>66</v>
      </c>
      <c r="C8" s="112"/>
      <c r="D8" s="107" t="s">
        <v>84</v>
      </c>
      <c r="E8" s="107" t="s">
        <v>85</v>
      </c>
      <c r="F8" s="111"/>
      <c r="G8" s="111" t="s">
        <v>26</v>
      </c>
      <c r="H8" s="111" t="s">
        <v>103</v>
      </c>
      <c r="I8" s="113"/>
    </row>
    <row r="9" spans="1:9" ht="34">
      <c r="A9" s="91" t="s">
        <v>61</v>
      </c>
      <c r="B9" s="91" t="s">
        <v>67</v>
      </c>
      <c r="C9" s="114"/>
      <c r="D9" s="107" t="s">
        <v>86</v>
      </c>
      <c r="E9" s="107" t="s">
        <v>87</v>
      </c>
      <c r="F9" s="114"/>
      <c r="G9" s="111" t="s">
        <v>26</v>
      </c>
      <c r="H9" s="111" t="s">
        <v>103</v>
      </c>
      <c r="I9" s="114"/>
    </row>
    <row r="10" spans="1:9" ht="17">
      <c r="A10" s="91" t="s">
        <v>65</v>
      </c>
      <c r="B10" s="91" t="s">
        <v>68</v>
      </c>
      <c r="C10" s="114"/>
      <c r="D10" s="107" t="s">
        <v>88</v>
      </c>
      <c r="E10" s="107" t="s">
        <v>89</v>
      </c>
      <c r="F10" s="114"/>
      <c r="G10" s="111" t="s">
        <v>26</v>
      </c>
      <c r="H10" s="111" t="s">
        <v>103</v>
      </c>
      <c r="I10" s="114"/>
    </row>
  </sheetData>
  <mergeCells count="5">
    <mergeCell ref="B1:F1"/>
    <mergeCell ref="B2:F2"/>
    <mergeCell ref="E4:F4"/>
    <mergeCell ref="E5:F5"/>
    <mergeCell ref="B3:F3"/>
  </mergeCells>
  <dataValidations count="2">
    <dataValidation type="list" allowBlank="1" showErrorMessage="1" sqref="F1:F2 F6 F9:F10" xr:uid="{B3CF1181-2A48-A949-BE1A-ACBD98E6DC64}">
      <formula1>#REF!</formula1>
      <formula2>0</formula2>
    </dataValidation>
    <dataValidation type="list" allowBlank="1" showErrorMessage="1" sqref="G7" xr:uid="{9464E18D-EFFD-F44A-829A-5F40A184AA5C}">
      <formula1>$H$2:$H$5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DE56-4F34-3847-9DE3-3FE1ACFF2F2A}">
  <dimension ref="A1"/>
  <sheetViews>
    <sheetView workbookViewId="0">
      <selection sqref="A1:XFD12"/>
    </sheetView>
  </sheetViews>
  <sheetFormatPr baseColWidth="10" defaultRowHeight="14"/>
  <cols>
    <col min="1" max="1" width="22.83203125" customWidth="1"/>
    <col min="2" max="2" width="23.83203125" customWidth="1"/>
    <col min="3" max="3" width="17.6640625" customWidth="1"/>
    <col min="4" max="4" width="33.5" customWidth="1"/>
    <col min="5" max="5" width="21.83203125" customWidth="1"/>
    <col min="6" max="6" width="33.83203125" customWidth="1"/>
  </cols>
  <sheetData/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6199-8AF6-B940-8B43-002AEC695EDA}">
  <dimension ref="A1:H18"/>
  <sheetViews>
    <sheetView workbookViewId="0">
      <selection activeCell="I21" sqref="I21"/>
    </sheetView>
  </sheetViews>
  <sheetFormatPr baseColWidth="10" defaultColWidth="9" defaultRowHeight="13"/>
  <cols>
    <col min="1" max="1" width="9" style="8"/>
    <col min="2" max="2" width="13.5" style="8" customWidth="1"/>
    <col min="3" max="3" width="19.33203125" style="8" customWidth="1"/>
    <col min="4" max="7" width="9" style="8"/>
    <col min="8" max="9" width="33.1640625" style="8" customWidth="1"/>
    <col min="10" max="16384" width="9" style="8"/>
  </cols>
  <sheetData>
    <row r="1" spans="1:8" ht="25.5" customHeight="1">
      <c r="B1" s="139" t="s">
        <v>33</v>
      </c>
      <c r="C1" s="139"/>
      <c r="D1" s="139"/>
      <c r="E1" s="139"/>
      <c r="F1" s="139"/>
      <c r="G1" s="139"/>
      <c r="H1" s="139"/>
    </row>
    <row r="2" spans="1:8" ht="14.25" customHeight="1">
      <c r="A2" s="61"/>
      <c r="B2" s="61"/>
      <c r="C2" s="62"/>
      <c r="D2" s="62"/>
      <c r="E2" s="62"/>
      <c r="F2" s="62"/>
      <c r="G2" s="62"/>
      <c r="H2" s="63"/>
    </row>
    <row r="3" spans="1:8" ht="12" customHeight="1">
      <c r="B3" s="11" t="s">
        <v>1</v>
      </c>
      <c r="C3" s="132" t="s">
        <v>2</v>
      </c>
      <c r="D3" s="132"/>
      <c r="E3" s="137" t="s">
        <v>3</v>
      </c>
      <c r="F3" s="137"/>
      <c r="G3" s="64"/>
      <c r="H3" s="65"/>
    </row>
    <row r="4" spans="1:8" ht="12" customHeight="1">
      <c r="B4" s="11" t="s">
        <v>4</v>
      </c>
      <c r="C4" s="132" t="s">
        <v>5</v>
      </c>
      <c r="D4" s="132"/>
      <c r="E4" s="137" t="s">
        <v>6</v>
      </c>
      <c r="F4" s="137"/>
      <c r="G4" s="64"/>
      <c r="H4" s="65"/>
    </row>
    <row r="5" spans="1:8" ht="12" customHeight="1">
      <c r="B5" s="66" t="s">
        <v>7</v>
      </c>
      <c r="C5" s="132" t="str">
        <f>C4&amp;"_"&amp;"Test Report"&amp;"_"&amp;"vx.x"</f>
        <v>&lt;Project Code&gt;_Test Report_vx.x</v>
      </c>
      <c r="D5" s="132"/>
      <c r="E5" s="137" t="s">
        <v>8</v>
      </c>
      <c r="F5" s="137"/>
      <c r="G5" s="64"/>
      <c r="H5" s="67" t="s">
        <v>34</v>
      </c>
    </row>
    <row r="6" spans="1:8" ht="21.75" customHeight="1">
      <c r="A6" s="61"/>
      <c r="B6" s="66" t="s">
        <v>35</v>
      </c>
      <c r="C6" s="138" t="s">
        <v>36</v>
      </c>
      <c r="D6" s="138"/>
      <c r="E6" s="138"/>
      <c r="F6" s="138"/>
      <c r="G6" s="138"/>
      <c r="H6" s="138"/>
    </row>
    <row r="7" spans="1:8" ht="14.25" customHeight="1">
      <c r="A7" s="61"/>
      <c r="B7" s="13"/>
      <c r="C7" s="68"/>
      <c r="D7" s="62"/>
      <c r="E7" s="62"/>
      <c r="F7" s="62"/>
      <c r="G7" s="62"/>
      <c r="H7" s="63"/>
    </row>
    <row r="8" spans="1:8">
      <c r="B8" s="13"/>
      <c r="C8" s="68"/>
      <c r="D8" s="62"/>
      <c r="E8" s="62"/>
      <c r="F8" s="62"/>
      <c r="G8" s="62"/>
      <c r="H8" s="63"/>
    </row>
    <row r="10" spans="1:8" ht="14">
      <c r="A10" s="69"/>
      <c r="B10" s="70" t="s">
        <v>20</v>
      </c>
      <c r="C10" s="71" t="s">
        <v>37</v>
      </c>
      <c r="D10" s="72" t="s">
        <v>26</v>
      </c>
      <c r="E10" s="71" t="s">
        <v>27</v>
      </c>
      <c r="F10" s="71" t="s">
        <v>28</v>
      </c>
      <c r="G10" s="73" t="s">
        <v>29</v>
      </c>
      <c r="H10" s="74" t="s">
        <v>38</v>
      </c>
    </row>
    <row r="11" spans="1:8">
      <c r="A11" s="69"/>
      <c r="B11" s="75">
        <v>1</v>
      </c>
      <c r="C11" s="76" t="str">
        <f>Module1!B2</f>
        <v xml:space="preserve">Module1 </v>
      </c>
      <c r="D11" s="77">
        <f>Module1!A6</f>
        <v>4</v>
      </c>
      <c r="E11" s="77">
        <f>Module1!B6</f>
        <v>0</v>
      </c>
      <c r="F11" s="77">
        <f>Module1!C6</f>
        <v>0</v>
      </c>
      <c r="G11" s="78">
        <f>Module1!D6</f>
        <v>0</v>
      </c>
      <c r="H11" s="79">
        <f>Module1!E6</f>
        <v>4</v>
      </c>
    </row>
    <row r="12" spans="1:8">
      <c r="A12" s="69"/>
      <c r="B12" s="75">
        <v>2</v>
      </c>
      <c r="C12" s="76" t="str">
        <f>Module2!B2</f>
        <v>Module2</v>
      </c>
      <c r="D12" s="77">
        <f>Module2!A6</f>
        <v>4</v>
      </c>
      <c r="E12" s="77">
        <f>Module2!B6</f>
        <v>0</v>
      </c>
      <c r="F12" s="77">
        <f>Module2!C6</f>
        <v>0</v>
      </c>
      <c r="G12" s="78">
        <f>Module2!D6</f>
        <v>0</v>
      </c>
      <c r="H12" s="79">
        <f>Module2!E6</f>
        <v>4</v>
      </c>
    </row>
    <row r="13" spans="1:8">
      <c r="A13" s="69"/>
      <c r="B13" s="75">
        <v>3</v>
      </c>
      <c r="C13" s="76" t="s">
        <v>45</v>
      </c>
      <c r="D13" s="77">
        <f>Module3!A5</f>
        <v>2</v>
      </c>
      <c r="E13" s="77">
        <f>Module3!B5</f>
        <v>0</v>
      </c>
      <c r="F13" s="77">
        <f>Module3!C5</f>
        <v>0</v>
      </c>
      <c r="G13" s="77">
        <f>Module3!D5</f>
        <v>0</v>
      </c>
      <c r="H13" s="79">
        <f>Module3!E5</f>
        <v>2</v>
      </c>
    </row>
    <row r="14" spans="1:8">
      <c r="A14" s="69"/>
      <c r="B14" s="75">
        <v>4</v>
      </c>
      <c r="C14" s="76" t="s">
        <v>64</v>
      </c>
      <c r="D14" s="77">
        <f>Module4!A5</f>
        <v>3</v>
      </c>
      <c r="E14" s="77">
        <f>Module4!B5</f>
        <v>0</v>
      </c>
      <c r="F14" s="77">
        <f>Module4!C5</f>
        <v>0</v>
      </c>
      <c r="G14" s="77">
        <f>Module4!D5</f>
        <v>0</v>
      </c>
      <c r="H14" s="79">
        <f>Module4!E5</f>
        <v>3</v>
      </c>
    </row>
    <row r="15" spans="1:8">
      <c r="B15" s="80"/>
      <c r="C15" s="81" t="s">
        <v>39</v>
      </c>
      <c r="D15" s="82">
        <f>SUM(D9:D14)</f>
        <v>13</v>
      </c>
      <c r="E15" s="82">
        <f>SUM(E9:E14)</f>
        <v>0</v>
      </c>
      <c r="F15" s="82">
        <f>SUM(F9:F14)</f>
        <v>0</v>
      </c>
      <c r="G15" s="82">
        <f>SUM(G9:G14)</f>
        <v>0</v>
      </c>
      <c r="H15" s="83">
        <f>SUM(H9:H14)</f>
        <v>13</v>
      </c>
    </row>
    <row r="16" spans="1:8">
      <c r="B16" s="84"/>
      <c r="D16" s="85"/>
      <c r="E16" s="86"/>
      <c r="F16" s="86"/>
      <c r="G16" s="86"/>
      <c r="H16" s="86"/>
    </row>
    <row r="17" spans="3:8">
      <c r="C17" s="87" t="s">
        <v>40</v>
      </c>
      <c r="E17" s="88">
        <f>(D15+E15)*100/(H15-G15)</f>
        <v>100</v>
      </c>
      <c r="F17" s="8" t="s">
        <v>41</v>
      </c>
      <c r="H17" s="60"/>
    </row>
    <row r="18" spans="3:8">
      <c r="C18" s="87" t="s">
        <v>42</v>
      </c>
      <c r="E18" s="88">
        <f>D15*100/(H15-G15)</f>
        <v>100</v>
      </c>
      <c r="F18" s="8" t="s">
        <v>41</v>
      </c>
      <c r="H18" s="60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b08c537a49adf1f0264621696145d4e8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79edc66073723f43766a972d30b274e4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CAE63D-5380-40ED-A43E-1567E1C203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 List</vt:lpstr>
      <vt:lpstr>Module1</vt:lpstr>
      <vt:lpstr>Module2</vt:lpstr>
      <vt:lpstr>Module3</vt:lpstr>
      <vt:lpstr>Module4</vt:lpstr>
      <vt:lpstr>TestData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pc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Đỗ Nguyễn Nhật Trường</cp:lastModifiedBy>
  <cp:lastPrinted>2010-11-12T10:33:20Z</cp:lastPrinted>
  <dcterms:created xsi:type="dcterms:W3CDTF">2011-06-02T09:10:50Z</dcterms:created>
  <dcterms:modified xsi:type="dcterms:W3CDTF">2025-12-18T18:02:07Z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</Properties>
</file>